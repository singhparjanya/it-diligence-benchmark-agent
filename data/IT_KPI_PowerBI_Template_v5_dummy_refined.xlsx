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janya\Downloads\"/>
    </mc:Choice>
  </mc:AlternateContent>
  <xr:revisionPtr revIDLastSave="0" documentId="13_ncr:1_{1A0CFD19-ECB2-4468-86D6-7811CB1BF9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mary_KPIs" sheetId="1" r:id="rId1"/>
    <sheet name="Cost_Breakdown" sheetId="2" r:id="rId2"/>
    <sheet name="IT_Org_Breakdown" sheetId="3" r:id="rId3"/>
    <sheet name="Applications" sheetId="4" r:id="rId4"/>
    <sheet name="Benchmark_Reference" sheetId="6" r:id="rId5"/>
    <sheet name="UPSLIDE_UndoFormatting" sheetId="8" state="hidden" r:id="rId6"/>
    <sheet name="UPSLIDE_Undo" sheetId="7" state="hidden" r:id="rId7"/>
  </sheets>
  <definedNames>
    <definedName name="_UNDO_UPS_" hidden="1">Benchmark_Reference!$C$16</definedName>
    <definedName name="_UNDO_UPS_SEL_" hidden="1">Benchmark_Reference!$C$16</definedName>
    <definedName name="_UNDO31X31X_" hidden="1">Benchmark_Reference!$C$16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<sst xmlns="http://schemas.openxmlformats.org/spreadsheetml/2006/main" count="910" uniqueCount="257">
  <si>
    <t>S No.</t>
  </si>
  <si>
    <t>Year</t>
  </si>
  <si>
    <t>Project Name</t>
  </si>
  <si>
    <t>Deal Type</t>
  </si>
  <si>
    <t>Sector</t>
  </si>
  <si>
    <t>Target Geography</t>
  </si>
  <si>
    <t>Revenue Band</t>
  </si>
  <si>
    <t>Revenue (m)</t>
  </si>
  <si>
    <t>Org Size</t>
  </si>
  <si>
    <t>IT Team</t>
  </si>
  <si>
    <t>IT Spend (m)</t>
  </si>
  <si>
    <t>IT Standalone Cost (m)</t>
  </si>
  <si>
    <t># Applications</t>
  </si>
  <si>
    <t>Project Atlantic</t>
  </si>
  <si>
    <t>Carve-out</t>
  </si>
  <si>
    <t>Healthcare</t>
  </si>
  <si>
    <t>UK</t>
  </si>
  <si>
    <t>100-500</t>
  </si>
  <si>
    <t>Project Bean</t>
  </si>
  <si>
    <t>ITDD</t>
  </si>
  <si>
    <t>Retail</t>
  </si>
  <si>
    <t>&gt;500</t>
  </si>
  <si>
    <t>Project Classico</t>
  </si>
  <si>
    <t>Integration</t>
  </si>
  <si>
    <t>Consumer Products</t>
  </si>
  <si>
    <t>Europe</t>
  </si>
  <si>
    <t>0-100</t>
  </si>
  <si>
    <t>Project Cool Blue</t>
  </si>
  <si>
    <t>Logistics</t>
  </si>
  <si>
    <t>Project Creedence</t>
  </si>
  <si>
    <t>Transformation</t>
  </si>
  <si>
    <t>Utilities</t>
  </si>
  <si>
    <t>Project Fabric</t>
  </si>
  <si>
    <t>Product DD</t>
  </si>
  <si>
    <t>Software &amp; Services</t>
  </si>
  <si>
    <t>Project Flowers</t>
  </si>
  <si>
    <t>Travel &amp; Tourism</t>
  </si>
  <si>
    <t>Project Gemini</t>
  </si>
  <si>
    <t>Financial Services</t>
  </si>
  <si>
    <t>Project Hanna</t>
  </si>
  <si>
    <t>Standalone</t>
  </si>
  <si>
    <t>Food &amp; Beverage</t>
  </si>
  <si>
    <t>Project Horizon</t>
  </si>
  <si>
    <t>Project Kraft</t>
  </si>
  <si>
    <t>Professional Services</t>
  </si>
  <si>
    <t>Project Leo</t>
  </si>
  <si>
    <t>Property &amp; Construction</t>
  </si>
  <si>
    <t>Project Liffey</t>
  </si>
  <si>
    <t>Chemicals</t>
  </si>
  <si>
    <t>Project Lux</t>
  </si>
  <si>
    <t>Project McFly</t>
  </si>
  <si>
    <t>AI DD</t>
  </si>
  <si>
    <t>Project Polaris</t>
  </si>
  <si>
    <t>Project Rise</t>
  </si>
  <si>
    <t>Project Rivet</t>
  </si>
  <si>
    <t>Industrial / Capital Goods</t>
  </si>
  <si>
    <t>US</t>
  </si>
  <si>
    <t>Project Saturn</t>
  </si>
  <si>
    <t>Aerospace &amp; Defense</t>
  </si>
  <si>
    <t>Project Thor</t>
  </si>
  <si>
    <t>Project Trinity</t>
  </si>
  <si>
    <t>Project Venus</t>
  </si>
  <si>
    <t>Project Wonka</t>
  </si>
  <si>
    <t>Project Falcon</t>
  </si>
  <si>
    <t>Automobiles &amp; Components</t>
  </si>
  <si>
    <t>Project Harbour</t>
  </si>
  <si>
    <t>Infrastructure</t>
  </si>
  <si>
    <t>India</t>
  </si>
  <si>
    <t>Project Maple</t>
  </si>
  <si>
    <t>Energy</t>
  </si>
  <si>
    <t>APAC</t>
  </si>
  <si>
    <t>Project Nimbus</t>
  </si>
  <si>
    <t>Project Orion</t>
  </si>
  <si>
    <t>Project Phoenix</t>
  </si>
  <si>
    <t>Project Quartz</t>
  </si>
  <si>
    <t>Project Redwood</t>
  </si>
  <si>
    <t>Paper &amp; Packaging</t>
  </si>
  <si>
    <t>Project Sierra</t>
  </si>
  <si>
    <t>Transportation</t>
  </si>
  <si>
    <t>Project Titan</t>
  </si>
  <si>
    <t>Metal &amp; Mining</t>
  </si>
  <si>
    <t>Project Umbra</t>
  </si>
  <si>
    <t>Media</t>
  </si>
  <si>
    <t>Project Vector</t>
  </si>
  <si>
    <t>Telecommunication Services</t>
  </si>
  <si>
    <t>Project Willow</t>
  </si>
  <si>
    <t>Education</t>
  </si>
  <si>
    <t>Project Xenon</t>
  </si>
  <si>
    <t>Real Estate</t>
  </si>
  <si>
    <t>Project Yara</t>
  </si>
  <si>
    <t>Project Zenith</t>
  </si>
  <si>
    <t>Project Apex</t>
  </si>
  <si>
    <t>Project Beacon</t>
  </si>
  <si>
    <t>Project Cedar</t>
  </si>
  <si>
    <t>Engineering &amp; Construction</t>
  </si>
  <si>
    <t>Project Delta</t>
  </si>
  <si>
    <t>Diversified Financials</t>
  </si>
  <si>
    <t>Project Ember</t>
  </si>
  <si>
    <t>Project Fjord</t>
  </si>
  <si>
    <t>Project Granite</t>
  </si>
  <si>
    <t>Industrial Machinery &amp; Equipment</t>
  </si>
  <si>
    <t>Project Helix</t>
  </si>
  <si>
    <t>Pharma, Biotech and Lifescience</t>
  </si>
  <si>
    <t>Project Ion</t>
  </si>
  <si>
    <t>Project Jade</t>
  </si>
  <si>
    <t>Travel Hospitality Leisure</t>
  </si>
  <si>
    <t>IT capex</t>
  </si>
  <si>
    <t>IT opex</t>
  </si>
  <si>
    <t>IT Personnel Cost (m)</t>
  </si>
  <si>
    <t>Outsourcing Cost (m)</t>
  </si>
  <si>
    <t>Licensing Cost (m)</t>
  </si>
  <si>
    <t>Infrastructure Cost (m)</t>
  </si>
  <si>
    <t>Recurring Cost (m)</t>
  </si>
  <si>
    <t>One-off Cost (m)</t>
  </si>
  <si>
    <t>Notes</t>
  </si>
  <si>
    <t>Dummy record calibrated to Healthcare / Carve-out; replace with project source.</t>
  </si>
  <si>
    <t>Dummy record calibrated to Retail / ITDD; replace with project source.</t>
  </si>
  <si>
    <t>Dummy record calibrated to Consumer Products / Integration; replace with project source.</t>
  </si>
  <si>
    <t>Dummy record calibrated to Logistics / ITDD; replace with project source.</t>
  </si>
  <si>
    <t>Dummy record calibrated to Utilities / Transformation; replace with project source.</t>
  </si>
  <si>
    <t>Dummy record calibrated to Software &amp; Services / Product DD; replace with project source.</t>
  </si>
  <si>
    <t>Dummy record calibrated to Travel &amp; Tourism / Transformation; replace with project source.</t>
  </si>
  <si>
    <t>Dummy record calibrated to Financial Services / ITDD; replace with project source.</t>
  </si>
  <si>
    <t>Dummy record calibrated to Food &amp; Beverage / Standalone; replace with project source.</t>
  </si>
  <si>
    <t>Dummy record calibrated to Food &amp; Beverage / Integration; replace with project source.</t>
  </si>
  <si>
    <t>Dummy record calibrated to Professional Services / Transformation; replace with project source.</t>
  </si>
  <si>
    <t>Dummy record calibrated to Property &amp; Construction / ITDD; replace with project source.</t>
  </si>
  <si>
    <t>Dummy record calibrated to Chemicals / Carve-out; replace with project source.</t>
  </si>
  <si>
    <t>Dummy record calibrated to Retail / Standalone; replace with project source.</t>
  </si>
  <si>
    <t>Dummy record calibrated to Healthcare / AI DD; replace with project source.</t>
  </si>
  <si>
    <t>Dummy record calibrated to Industrial / Capital Goods / ITDD; replace with project source.</t>
  </si>
  <si>
    <t>Dummy record calibrated to Aerospace &amp; Defense / ITDD; replace with project source.</t>
  </si>
  <si>
    <t>Dummy record calibrated to Industrial / Capital Goods / Carve-out; replace with project source.</t>
  </si>
  <si>
    <t>Dummy record calibrated to Industrial / Capital Goods / Integration; replace with project source.</t>
  </si>
  <si>
    <t>Dummy record calibrated to Logistics / Standalone; replace with project source.</t>
  </si>
  <si>
    <t>Dummy record calibrated to Food &amp; Beverage / Transformation; replace with project source.</t>
  </si>
  <si>
    <t>Dummy record calibrated to Automobiles &amp; Components / Carve-out; replace with project source.</t>
  </si>
  <si>
    <t>Dummy record calibrated to Infrastructure / Transformation; replace with project source.</t>
  </si>
  <si>
    <t>Dummy record calibrated to Energy / Integration; replace with project source.</t>
  </si>
  <si>
    <t>Dummy record calibrated to Healthcare / ITDD; replace with project source.</t>
  </si>
  <si>
    <t>Dummy record calibrated to Retail / Transformation; replace with project source.</t>
  </si>
  <si>
    <t>Dummy record calibrated to Financial Services / AI DD; replace with project source.</t>
  </si>
  <si>
    <t>Dummy record calibrated to Paper &amp; Packaging / Carve-out; replace with project source.</t>
  </si>
  <si>
    <t>Dummy record calibrated to Transportation / Standalone; replace with project source.</t>
  </si>
  <si>
    <t>Dummy record calibrated to Metal &amp; Mining / Integration; replace with project source.</t>
  </si>
  <si>
    <t>Dummy record calibrated to Media / Product DD; replace with project source.</t>
  </si>
  <si>
    <t>Dummy record calibrated to Telecommunication Services / Transformation; replace with project source.</t>
  </si>
  <si>
    <t>Dummy record calibrated to Education / ITDD; replace with project source.</t>
  </si>
  <si>
    <t>Dummy record calibrated to Real Estate / Carve-out; replace with project source.</t>
  </si>
  <si>
    <t>Dummy record calibrated to Aerospace &amp; Defense / Integration; replace with project source.</t>
  </si>
  <si>
    <t>Dummy record calibrated to Software &amp; Services / AI DD; replace with project source.</t>
  </si>
  <si>
    <t>Dummy record calibrated to Healthcare / Transformation; replace with project source.</t>
  </si>
  <si>
    <t>Dummy record calibrated to Engineering &amp; Construction / Carve-out; replace with project source.</t>
  </si>
  <si>
    <t>Dummy record calibrated to Diversified Financials / ITDD; replace with project source.</t>
  </si>
  <si>
    <t>Dummy record calibrated to Transportation / Integration; replace with project source.</t>
  </si>
  <si>
    <t>Dummy record calibrated to Industrial Machinery &amp; Equipment / Transformation; replace with project source.</t>
  </si>
  <si>
    <t>Dummy record calibrated to Pharma, Biotech and Lifescience / AI DD; replace with project source.</t>
  </si>
  <si>
    <t>Dummy record calibrated to Utilities / Product DD; replace with project source.</t>
  </si>
  <si>
    <t>Dummy record calibrated to Travel Hospitality Leisure / ITDD; replace with project source.</t>
  </si>
  <si>
    <t>Level 1 function</t>
  </si>
  <si>
    <t>Level 2 function</t>
  </si>
  <si>
    <t>Level 3 function</t>
  </si>
  <si>
    <t>FTE Count</t>
  </si>
  <si>
    <t>Back Office</t>
  </si>
  <si>
    <t>IT</t>
  </si>
  <si>
    <t>Infrastructure Engineer</t>
  </si>
  <si>
    <t>Application Support</t>
  </si>
  <si>
    <t>Mid Office</t>
  </si>
  <si>
    <t>Data &amp; Analytics</t>
  </si>
  <si>
    <t>BI Developer</t>
  </si>
  <si>
    <t>Data Engineer</t>
  </si>
  <si>
    <t>IT Security</t>
  </si>
  <si>
    <t>Security Analyst</t>
  </si>
  <si>
    <t>IT Service Management</t>
  </si>
  <si>
    <t>Helpdesk Analyst</t>
  </si>
  <si>
    <t>Front Office</t>
  </si>
  <si>
    <t>Sales &amp; Marketing</t>
  </si>
  <si>
    <t>CRM Administrator</t>
  </si>
  <si>
    <t>Enterprise Architecture</t>
  </si>
  <si>
    <t>Solution Architect</t>
  </si>
  <si>
    <t>Business Applications</t>
  </si>
  <si>
    <t>ERP Functional Analyst</t>
  </si>
  <si>
    <t>Product &amp; Engineering</t>
  </si>
  <si>
    <t>Product Owner</t>
  </si>
  <si>
    <t>IT Finance</t>
  </si>
  <si>
    <t>IT Finance Manager</t>
  </si>
  <si>
    <t>PMO</t>
  </si>
  <si>
    <t>Project Manager</t>
  </si>
  <si>
    <t>Application Type</t>
  </si>
  <si>
    <t>Application Name</t>
  </si>
  <si>
    <t>Vendor</t>
  </si>
  <si>
    <t>Pricing Model</t>
  </si>
  <si>
    <t>Hosting Type</t>
  </si>
  <si>
    <t>Implementation cost (monthly)</t>
  </si>
  <si>
    <t>Monthly Licensing cost per user</t>
  </si>
  <si>
    <t>Annual Cost</t>
  </si>
  <si>
    <t># Users</t>
  </si>
  <si>
    <t>Salesforce Sales Cloud</t>
  </si>
  <si>
    <t>Salesforce</t>
  </si>
  <si>
    <t>Per User/Month</t>
  </si>
  <si>
    <t>SaaS (Cloud)</t>
  </si>
  <si>
    <t>SAP S/4HANA</t>
  </si>
  <si>
    <t>SAP</t>
  </si>
  <si>
    <t>Subscription Annual</t>
  </si>
  <si>
    <t>Private Cloud</t>
  </si>
  <si>
    <t>Oracle Fusion ERP</t>
  </si>
  <si>
    <t>Oracle</t>
  </si>
  <si>
    <t>Workday HCM</t>
  </si>
  <si>
    <t>Workday</t>
  </si>
  <si>
    <t>Microsoft Power BI</t>
  </si>
  <si>
    <t>Microsoft</t>
  </si>
  <si>
    <t>SaaS (Azure)</t>
  </si>
  <si>
    <t>Snowflake</t>
  </si>
  <si>
    <t>Usage-Based</t>
  </si>
  <si>
    <t>Cloud (AWS/Azure)</t>
  </si>
  <si>
    <t>Databricks</t>
  </si>
  <si>
    <t>Cloud (Azure/AWS)</t>
  </si>
  <si>
    <t>ServiceNow ITSM</t>
  </si>
  <si>
    <t>ServiceNow</t>
  </si>
  <si>
    <t>HubSpot CRM</t>
  </si>
  <si>
    <t>HubSpot</t>
  </si>
  <si>
    <t>Coupa</t>
  </si>
  <si>
    <t>MuleSoft ESB</t>
  </si>
  <si>
    <t>Hybrid (Integration Layer)</t>
  </si>
  <si>
    <t>Okta Identity</t>
  </si>
  <si>
    <t>Okta</t>
  </si>
  <si>
    <t>BlackLine</t>
  </si>
  <si>
    <t>Adobe Experience Cloud</t>
  </si>
  <si>
    <t>Adobe</t>
  </si>
  <si>
    <t>Azure Data Factory</t>
  </si>
  <si>
    <t>Cloud (Azure)</t>
  </si>
  <si>
    <t>Benchmark / Validation Reference</t>
  </si>
  <si>
    <t>Reference Area</t>
  </si>
  <si>
    <t>Benchmark / List</t>
  </si>
  <si>
    <t>25th Percentile</t>
  </si>
  <si>
    <t>50th Percentile</t>
  </si>
  <si>
    <t>75th Percentile</t>
  </si>
  <si>
    <t>Org Size: Small</t>
  </si>
  <si>
    <t>User to IT staff ratio</t>
  </si>
  <si>
    <t>Org Size: Medium</t>
  </si>
  <si>
    <t>Org Size: Large</t>
  </si>
  <si>
    <t>Overall</t>
  </si>
  <si>
    <t>IT Spend as % of Revenue</t>
  </si>
  <si>
    <t>IT Opex as % of Revenue</t>
  </si>
  <si>
    <t>IT Capex as % of total IT Spend</t>
  </si>
  <si>
    <t>IT Staff expenses as % of IT Opex</t>
  </si>
  <si>
    <t>Recommended categorical lists</t>
  </si>
  <si>
    <t>Deal Types</t>
  </si>
  <si>
    <t>ITDD, AI DD, Product DD, Carve-out, Integration, Standalone, Transformation</t>
  </si>
  <si>
    <t>Geographies</t>
  </si>
  <si>
    <t>UK, Europe, US, India, APAC</t>
  </si>
  <si>
    <t>Core Sectors</t>
  </si>
  <si>
    <t>Healthcare; Retail; Food &amp; Beverage; Financial Services; Software &amp; Services; Industrial / Capital Goods; Utilities; Logistics; Aerospace &amp; Defense</t>
  </si>
  <si>
    <t>Cost categories</t>
  </si>
  <si>
    <t>Personnel; Outsourcing; Licensing; Infrastructure; Capex; Opex; Standalone; Recurring; One-off</t>
  </si>
  <si>
    <t>Application categories</t>
  </si>
  <si>
    <t>Front Office; Back Office; Mid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</si>
</sst>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</font>
    <font>
      <sz val="10"/>
      <color rgb="FF1F2937"/>
      <name val="Aptos"/>
    </font>
    <font>
      <b/>
      <sz val="10"/>
      <color rgb="FF111827"/>
      <name val="Aptos"/>
    </font>
    <font>
      <b/>
      <sz val="14"/>
      <color rgb="FF0F172A"/>
      <name val="Aptos"/>
    </font>
    <font>
      <b/>
      <sz val="14"/>
      <color rgb="FF0F172A"/>
      <name val="Aptos"/>
      <family val="2"/>
    </font>
    <font>
      <sz val="1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002B49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maryKPIs" displayName="PrimaryKPIs" ref="A1:M50">
  <autoFilter ref="A1:M50" xr:uid="{00000000-0009-0000-0100-000001000000}"/>
  <tableColumns count="13">
    <tableColumn id="12" xr3:uid="{00000000-0010-0000-0000-00000C000000}" name="S No."/>
    <tableColumn id="1" xr3:uid="{00000000-0010-0000-0000-000001000000}" name="Year"/>
    <tableColumn id="2" xr3:uid="{00000000-0010-0000-0000-000002000000}" name="Project Name"/>
    <tableColumn id="3" xr3:uid="{00000000-0010-0000-0000-000003000000}" name="Deal Type"/>
    <tableColumn id="4" xr3:uid="{00000000-0010-0000-0000-000004000000}" name="Sector"/>
    <tableColumn id="5" xr3:uid="{00000000-0010-0000-0000-000005000000}" name="Target Geography"/>
    <tableColumn id="7" xr3:uid="{00000000-0010-0000-0000-000007000000}" name="Revenue Band"/>
    <tableColumn id="6" xr3:uid="{00000000-0010-0000-0000-000006000000}" name="Revenue (m)"/>
    <tableColumn id="8" xr3:uid="{00000000-0010-0000-0000-000008000000}" name="Org Size"/>
    <tableColumn id="9" xr3:uid="{00000000-0010-0000-0000-000009000000}" name="IT Team"/>
    <tableColumn id="10" xr3:uid="{00000000-0010-0000-0000-00000A000000}" name="IT Spend (m)"/>
    <tableColumn id="11" xr3:uid="{00000000-0010-0000-0000-00000B000000}" name="IT Standalone Cost (m)"/>
    <tableColumn id="29" xr3:uid="{00000000-0010-0000-0000-00001D000000}" name="# Applic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Breakdown" displayName="CostBreakdown" ref="A1:N50">
  <autoFilter ref="A1:N50" xr:uid="{00000000-0009-0000-0100-000002000000}"/>
  <tableColumns count="14">
    <tableColumn id="3" xr3:uid="{00000000-0010-0000-0100-000003000000}" name="S No."/>
    <tableColumn id="1" xr3:uid="{00000000-0010-0000-0100-000001000000}" name="Year"/>
    <tableColumn id="2" xr3:uid="{00000000-0010-0000-0100-000002000000}" name="Project Name"/>
    <tableColumn id="7" xr3:uid="{00000000-0010-0000-0100-000007000000}" name="IT Spend (m)"/>
    <tableColumn id="8" xr3:uid="{00000000-0010-0000-0100-000008000000}" name="IT capex"/>
    <tableColumn id="17" xr3:uid="{00000000-0010-0000-0100-000011000000}" name="IT opex"/>
    <tableColumn id="18" xr3:uid="{00000000-0010-0000-0100-000012000000}" name="IT Personnel Cost (m)"/>
    <tableColumn id="16" xr3:uid="{00000000-0010-0000-0100-000010000000}" name="Outsourcing Cost (m)"/>
    <tableColumn id="15" xr3:uid="{00000000-0010-0000-0100-00000F000000}" name="Licensing Cost (m)"/>
    <tableColumn id="14" xr3:uid="{00000000-0010-0000-0100-00000E000000}" name="Infrastructure Cost (m)"/>
    <tableColumn id="9" xr3:uid="{00000000-0010-0000-0100-000009000000}" name="IT Standalone Cost (m)"/>
    <tableColumn id="10" xr3:uid="{00000000-0010-0000-0100-00000A000000}" name="Recurring Cost (m)"/>
    <tableColumn id="11" xr3:uid="{00000000-0010-0000-0100-00000B000000}" name="One-off Cost (m)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opleBreakdown" displayName="PeopleBreakdown" ref="A1:G50">
  <autoFilter ref="A1:G50" xr:uid="{00000000-0009-0000-0100-000003000000}"/>
  <tableColumns count="7">
    <tableColumn id="7" xr3:uid="{00000000-0010-0000-0200-000007000000}" name="S No."/>
    <tableColumn id="1" xr3:uid="{00000000-0010-0000-0200-000001000000}" name="Year"/>
    <tableColumn id="2" xr3:uid="{00000000-0010-0000-0200-000002000000}" name="Project Name"/>
    <tableColumn id="6" xr3:uid="{00000000-0010-0000-0200-000006000000}" name="Level 1 function"/>
    <tableColumn id="3" xr3:uid="{00000000-0010-0000-0200-000003000000}" name="Level 2 function"/>
    <tableColumn id="4" xr3:uid="{00000000-0010-0000-0200-000004000000}" name="Level 3 function"/>
    <tableColumn id="5" xr3:uid="{00000000-0010-0000-0200-000005000000}" name="FTE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plicationsTbl" displayName="ApplicationsTbl" ref="A1:L50">
  <autoFilter ref="A1:L50" xr:uid="{00000000-0009-0000-0100-000004000000}"/>
  <tableColumns count="12">
    <tableColumn id="12" xr3:uid="{00000000-0010-0000-0300-00000C000000}" name="S No."/>
    <tableColumn id="1" xr3:uid="{00000000-0010-0000-0300-000001000000}" name="Year"/>
    <tableColumn id="2" xr3:uid="{00000000-0010-0000-0300-000002000000}" name="Project Name"/>
    <tableColumn id="3" xr3:uid="{00000000-0010-0000-0300-000003000000}" name="Application Type"/>
    <tableColumn id="4" xr3:uid="{00000000-0010-0000-0300-000004000000}" name="Application Name"/>
    <tableColumn id="5" xr3:uid="{00000000-0010-0000-0300-000005000000}" name="Vendor"/>
    <tableColumn id="9" xr3:uid="{00000000-0010-0000-0300-000009000000}" name="Pricing Model"/>
    <tableColumn id="6" xr3:uid="{00000000-0010-0000-0300-000006000000}" name="Hosting Type"/>
    <tableColumn id="10" xr3:uid="{00000000-0010-0000-0300-00000A000000}" name="Implementation cost (monthly)"/>
    <tableColumn id="11" xr3:uid="{00000000-0010-0000-0300-00000B000000}" name="Monthly Licensing cost per user"/>
    <tableColumn id="7" xr3:uid="{00000000-0010-0000-0300-000007000000}" name="Annual Cost"/>
    <tableColumn id="8" xr3:uid="{00000000-0010-0000-0300-000008000000}" name="# Us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D26" workbookViewId="0">
      <selection activeCell="A2" sqref="A2:M50"/>
    </sheetView>
  </sheetViews>
  <sheetFormatPr defaultRowHeight="14.5" x14ac:dyDescent="0.35"/>
  <cols>
    <col min="1" max="2" width="8" customWidth="1"/>
    <col min="3" max="3" width="22" customWidth="1"/>
    <col min="4" max="4" width="15" customWidth="1"/>
    <col min="5" max="5" width="28" customWidth="1"/>
    <col min="6" max="6" width="16" customWidth="1"/>
    <col min="7" max="7" width="14" customWidth="1"/>
    <col min="8" max="8" width="12" customWidth="1"/>
    <col min="9" max="10" width="10" customWidth="1"/>
    <col min="11" max="11" width="12" customWidth="1"/>
    <col min="12" max="12" width="18" customWidth="1"/>
    <col min="13" max="13" width="14" customWidth="1"/>
  </cols>
  <sheetData>
    <row r="1" spans="1:13" ht="22.6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3.4" customHeight="1" x14ac:dyDescent="0.35">
      <c r="A2" s="2">
        <v>1</v>
      </c>
      <c r="B2" s="1">
        <v>2022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4">
        <v>206.8</v>
      </c>
      <c r="I2" s="1">
        <v>1267</v>
      </c>
      <c r="J2" s="1">
        <v>42</v>
      </c>
      <c r="K2" s="5">
        <v>8.48</v>
      </c>
      <c r="L2" s="5">
        <v>1.31</v>
      </c>
      <c r="M2" s="1">
        <v>26</v>
      </c>
    </row>
    <row r="3" spans="1:13" ht="13.4" customHeight="1" x14ac:dyDescent="0.35">
      <c r="A3" s="1">
        <v>2</v>
      </c>
      <c r="B3" s="1">
        <v>2023</v>
      </c>
      <c r="C3" s="1" t="s">
        <v>18</v>
      </c>
      <c r="D3" s="1" t="s">
        <v>19</v>
      </c>
      <c r="E3" s="1" t="s">
        <v>20</v>
      </c>
      <c r="F3" s="1" t="s">
        <v>16</v>
      </c>
      <c r="G3" s="1" t="s">
        <v>21</v>
      </c>
      <c r="H3" s="4">
        <v>912</v>
      </c>
      <c r="I3" s="1">
        <v>2763</v>
      </c>
      <c r="J3" s="1">
        <v>81</v>
      </c>
      <c r="K3" s="5">
        <v>25.54</v>
      </c>
      <c r="L3" s="5">
        <v>4.8499999999999996</v>
      </c>
      <c r="M3" s="1">
        <v>56</v>
      </c>
    </row>
    <row r="4" spans="1:13" ht="13.4" customHeight="1" x14ac:dyDescent="0.35">
      <c r="A4" s="1">
        <v>3</v>
      </c>
      <c r="B4" s="1">
        <v>2024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4">
        <v>98.98</v>
      </c>
      <c r="I4" s="1">
        <v>813</v>
      </c>
      <c r="J4" s="1">
        <v>21</v>
      </c>
      <c r="K4" s="5">
        <v>3.27</v>
      </c>
      <c r="L4" s="5">
        <v>0.74</v>
      </c>
      <c r="M4" s="1">
        <v>17</v>
      </c>
    </row>
    <row r="5" spans="1:13" ht="13.4" customHeight="1" x14ac:dyDescent="0.35">
      <c r="A5" s="1">
        <v>4</v>
      </c>
      <c r="B5" s="1">
        <v>2025</v>
      </c>
      <c r="C5" s="1" t="s">
        <v>27</v>
      </c>
      <c r="D5" s="1" t="s">
        <v>19</v>
      </c>
      <c r="E5" s="1" t="s">
        <v>28</v>
      </c>
      <c r="F5" s="1" t="s">
        <v>16</v>
      </c>
      <c r="G5" s="1" t="s">
        <v>26</v>
      </c>
      <c r="H5" s="4">
        <v>14.9</v>
      </c>
      <c r="I5" s="1">
        <v>1002</v>
      </c>
      <c r="J5" s="1">
        <v>23</v>
      </c>
      <c r="K5" s="5">
        <v>0.4</v>
      </c>
      <c r="L5" s="5">
        <v>0.1</v>
      </c>
      <c r="M5" s="1">
        <v>18</v>
      </c>
    </row>
    <row r="6" spans="1:13" ht="13.4" customHeight="1" x14ac:dyDescent="0.35">
      <c r="A6" s="1">
        <v>5</v>
      </c>
      <c r="B6" s="1">
        <v>2026</v>
      </c>
      <c r="C6" s="1" t="s">
        <v>29</v>
      </c>
      <c r="D6" s="1" t="s">
        <v>30</v>
      </c>
      <c r="E6" s="1" t="s">
        <v>31</v>
      </c>
      <c r="F6" s="1" t="s">
        <v>25</v>
      </c>
      <c r="G6" s="1" t="s">
        <v>21</v>
      </c>
      <c r="H6" s="4">
        <v>1611.6</v>
      </c>
      <c r="I6" s="1">
        <v>2873</v>
      </c>
      <c r="J6" s="1">
        <v>110</v>
      </c>
      <c r="K6" s="5">
        <v>58.02</v>
      </c>
      <c r="L6" s="5">
        <v>6.96</v>
      </c>
      <c r="M6" s="1">
        <v>80</v>
      </c>
    </row>
    <row r="7" spans="1:13" ht="13.4" customHeight="1" x14ac:dyDescent="0.35">
      <c r="A7" s="1">
        <v>6</v>
      </c>
      <c r="B7" s="1">
        <v>2022</v>
      </c>
      <c r="C7" s="1" t="s">
        <v>32</v>
      </c>
      <c r="D7" s="1" t="s">
        <v>33</v>
      </c>
      <c r="E7" s="1" t="s">
        <v>34</v>
      </c>
      <c r="F7" s="1" t="s">
        <v>25</v>
      </c>
      <c r="G7" s="1" t="s">
        <v>17</v>
      </c>
      <c r="H7" s="4">
        <v>329.89</v>
      </c>
      <c r="I7" s="1">
        <v>954</v>
      </c>
      <c r="J7" s="1">
        <v>31</v>
      </c>
      <c r="K7" s="5">
        <v>18.8</v>
      </c>
      <c r="L7" s="5">
        <v>2.91</v>
      </c>
      <c r="M7" s="1">
        <v>30</v>
      </c>
    </row>
    <row r="8" spans="1:13" ht="13.4" customHeight="1" x14ac:dyDescent="0.35">
      <c r="A8" s="1">
        <v>7</v>
      </c>
      <c r="B8" s="1">
        <v>2023</v>
      </c>
      <c r="C8" s="1" t="s">
        <v>35</v>
      </c>
      <c r="D8" s="1" t="s">
        <v>30</v>
      </c>
      <c r="E8" s="1" t="s">
        <v>36</v>
      </c>
      <c r="F8" s="1" t="s">
        <v>25</v>
      </c>
      <c r="G8" s="1" t="s">
        <v>21</v>
      </c>
      <c r="H8" s="4">
        <v>805.6</v>
      </c>
      <c r="I8" s="1">
        <v>1371</v>
      </c>
      <c r="J8" s="1">
        <v>40</v>
      </c>
      <c r="K8" s="5">
        <v>27.39</v>
      </c>
      <c r="L8" s="5">
        <v>5.2</v>
      </c>
      <c r="M8" s="1">
        <v>41</v>
      </c>
    </row>
    <row r="9" spans="1:13" ht="13.4" customHeight="1" x14ac:dyDescent="0.35">
      <c r="A9" s="1">
        <v>8</v>
      </c>
      <c r="B9" s="1">
        <v>2024</v>
      </c>
      <c r="C9" s="1" t="s">
        <v>37</v>
      </c>
      <c r="D9" s="1" t="s">
        <v>19</v>
      </c>
      <c r="E9" s="1" t="s">
        <v>38</v>
      </c>
      <c r="F9" s="1" t="s">
        <v>25</v>
      </c>
      <c r="G9" s="1" t="s">
        <v>21</v>
      </c>
      <c r="H9" s="4">
        <v>1274.4000000000001</v>
      </c>
      <c r="I9" s="1">
        <v>2195</v>
      </c>
      <c r="J9" s="1">
        <v>57</v>
      </c>
      <c r="K9" s="5">
        <v>57.35</v>
      </c>
      <c r="L9" s="5">
        <v>12.9</v>
      </c>
      <c r="M9" s="1">
        <v>71</v>
      </c>
    </row>
    <row r="10" spans="1:13" ht="13.4" customHeight="1" x14ac:dyDescent="0.35">
      <c r="A10" s="1">
        <v>9</v>
      </c>
      <c r="B10" s="1">
        <v>2025</v>
      </c>
      <c r="C10" s="1" t="s">
        <v>39</v>
      </c>
      <c r="D10" s="1" t="s">
        <v>40</v>
      </c>
      <c r="E10" s="1" t="s">
        <v>41</v>
      </c>
      <c r="F10" s="1" t="s">
        <v>16</v>
      </c>
      <c r="G10" s="1" t="s">
        <v>26</v>
      </c>
      <c r="H10" s="4">
        <v>82.8</v>
      </c>
      <c r="I10" s="1">
        <v>1110</v>
      </c>
      <c r="J10" s="1">
        <v>26</v>
      </c>
      <c r="K10" s="5">
        <v>2.0699999999999998</v>
      </c>
      <c r="L10" s="5">
        <v>0.54</v>
      </c>
      <c r="M10" s="1">
        <v>20</v>
      </c>
    </row>
    <row r="11" spans="1:13" ht="13.4" customHeight="1" x14ac:dyDescent="0.35">
      <c r="A11" s="1">
        <v>10</v>
      </c>
      <c r="B11" s="1">
        <v>2026</v>
      </c>
      <c r="C11" s="1" t="s">
        <v>42</v>
      </c>
      <c r="D11" s="1" t="s">
        <v>23</v>
      </c>
      <c r="E11" s="1" t="s">
        <v>41</v>
      </c>
      <c r="F11" s="1" t="s">
        <v>25</v>
      </c>
      <c r="G11" s="1" t="s">
        <v>17</v>
      </c>
      <c r="H11" s="4">
        <v>228.42</v>
      </c>
      <c r="I11" s="1">
        <v>1362</v>
      </c>
      <c r="J11" s="1">
        <v>52</v>
      </c>
      <c r="K11" s="5">
        <v>5.94</v>
      </c>
      <c r="L11" s="5">
        <v>0.71</v>
      </c>
      <c r="M11" s="1">
        <v>26</v>
      </c>
    </row>
    <row r="12" spans="1:13" ht="13.4" customHeight="1" x14ac:dyDescent="0.35">
      <c r="A12" s="1">
        <v>11</v>
      </c>
      <c r="B12" s="1">
        <v>2022</v>
      </c>
      <c r="C12" s="1" t="s">
        <v>43</v>
      </c>
      <c r="D12" s="1" t="s">
        <v>30</v>
      </c>
      <c r="E12" s="1" t="s">
        <v>44</v>
      </c>
      <c r="F12" s="1" t="s">
        <v>16</v>
      </c>
      <c r="G12" s="1" t="s">
        <v>17</v>
      </c>
      <c r="H12" s="4">
        <v>154.56</v>
      </c>
      <c r="I12" s="1">
        <v>962</v>
      </c>
      <c r="J12" s="1">
        <v>32</v>
      </c>
      <c r="K12" s="5">
        <v>5.26</v>
      </c>
      <c r="L12" s="5">
        <v>0.82</v>
      </c>
      <c r="M12" s="1">
        <v>20</v>
      </c>
    </row>
    <row r="13" spans="1:13" ht="13.4" customHeight="1" x14ac:dyDescent="0.35">
      <c r="A13" s="1">
        <v>12</v>
      </c>
      <c r="B13" s="1">
        <v>2023</v>
      </c>
      <c r="C13" s="1" t="s">
        <v>45</v>
      </c>
      <c r="D13" s="1" t="s">
        <v>19</v>
      </c>
      <c r="E13" s="1" t="s">
        <v>46</v>
      </c>
      <c r="F13" s="1" t="s">
        <v>16</v>
      </c>
      <c r="G13" s="1" t="s">
        <v>26</v>
      </c>
      <c r="H13" s="4">
        <v>26.95</v>
      </c>
      <c r="I13" s="1">
        <v>900</v>
      </c>
      <c r="J13" s="1">
        <v>26</v>
      </c>
      <c r="K13" s="5">
        <v>0.81</v>
      </c>
      <c r="L13" s="5">
        <v>0.15</v>
      </c>
      <c r="M13" s="1">
        <v>17</v>
      </c>
    </row>
    <row r="14" spans="1:13" ht="13.4" customHeight="1" x14ac:dyDescent="0.35">
      <c r="A14" s="1">
        <v>13</v>
      </c>
      <c r="B14" s="1">
        <v>2024</v>
      </c>
      <c r="C14" s="1" t="s">
        <v>47</v>
      </c>
      <c r="D14" s="1" t="s">
        <v>14</v>
      </c>
      <c r="E14" s="1" t="s">
        <v>48</v>
      </c>
      <c r="F14" s="1" t="s">
        <v>25</v>
      </c>
      <c r="G14" s="1" t="s">
        <v>26</v>
      </c>
      <c r="H14" s="4">
        <v>91</v>
      </c>
      <c r="I14" s="1">
        <v>1059</v>
      </c>
      <c r="J14" s="1">
        <v>27</v>
      </c>
      <c r="K14" s="5">
        <v>3</v>
      </c>
      <c r="L14" s="5">
        <v>0.68</v>
      </c>
      <c r="M14" s="1">
        <v>20</v>
      </c>
    </row>
    <row r="15" spans="1:13" ht="13.4" customHeight="1" x14ac:dyDescent="0.35">
      <c r="A15" s="1">
        <v>14</v>
      </c>
      <c r="B15" s="1">
        <v>2025</v>
      </c>
      <c r="C15" s="1" t="s">
        <v>49</v>
      </c>
      <c r="D15" s="1" t="s">
        <v>40</v>
      </c>
      <c r="E15" s="1" t="s">
        <v>20</v>
      </c>
      <c r="F15" s="1" t="s">
        <v>16</v>
      </c>
      <c r="G15" s="1" t="s">
        <v>26</v>
      </c>
      <c r="H15" s="4">
        <v>40.090000000000003</v>
      </c>
      <c r="I15" s="1">
        <v>1591</v>
      </c>
      <c r="J15" s="1">
        <v>37</v>
      </c>
      <c r="K15" s="5">
        <v>1.2</v>
      </c>
      <c r="L15" s="5">
        <v>0.31</v>
      </c>
      <c r="M15" s="1">
        <v>25</v>
      </c>
    </row>
    <row r="16" spans="1:13" ht="13.4" customHeight="1" x14ac:dyDescent="0.35">
      <c r="A16" s="1">
        <v>15</v>
      </c>
      <c r="B16" s="1">
        <v>2026</v>
      </c>
      <c r="C16" s="1" t="s">
        <v>50</v>
      </c>
      <c r="D16" s="1" t="s">
        <v>51</v>
      </c>
      <c r="E16" s="1" t="s">
        <v>15</v>
      </c>
      <c r="F16" s="1" t="s">
        <v>25</v>
      </c>
      <c r="G16" s="1" t="s">
        <v>17</v>
      </c>
      <c r="H16" s="4">
        <v>332.8</v>
      </c>
      <c r="I16" s="1">
        <v>1412</v>
      </c>
      <c r="J16" s="1">
        <v>54</v>
      </c>
      <c r="K16" s="5">
        <v>14.64</v>
      </c>
      <c r="L16" s="5">
        <v>1.76</v>
      </c>
      <c r="M16" s="1">
        <v>32</v>
      </c>
    </row>
    <row r="17" spans="1:13" ht="13.4" customHeight="1" x14ac:dyDescent="0.35">
      <c r="A17" s="1">
        <v>16</v>
      </c>
      <c r="B17" s="1">
        <v>2022</v>
      </c>
      <c r="C17" s="1" t="s">
        <v>52</v>
      </c>
      <c r="D17" s="1" t="s">
        <v>33</v>
      </c>
      <c r="E17" s="1" t="s">
        <v>34</v>
      </c>
      <c r="F17" s="1" t="s">
        <v>25</v>
      </c>
      <c r="G17" s="1" t="s">
        <v>26</v>
      </c>
      <c r="H17" s="4">
        <v>9.2100000000000009</v>
      </c>
      <c r="I17" s="1">
        <v>245</v>
      </c>
      <c r="J17" s="1">
        <v>8</v>
      </c>
      <c r="K17" s="5">
        <v>0.52</v>
      </c>
      <c r="L17" s="5">
        <v>0.08</v>
      </c>
      <c r="M17" s="1">
        <v>9</v>
      </c>
    </row>
    <row r="18" spans="1:13" ht="13.4" customHeight="1" x14ac:dyDescent="0.35">
      <c r="A18" s="1">
        <v>17</v>
      </c>
      <c r="B18" s="1">
        <v>2023</v>
      </c>
      <c r="C18" s="1" t="s">
        <v>53</v>
      </c>
      <c r="D18" s="1" t="s">
        <v>30</v>
      </c>
      <c r="E18" s="1" t="s">
        <v>44</v>
      </c>
      <c r="F18" s="1" t="s">
        <v>25</v>
      </c>
      <c r="G18" s="1" t="s">
        <v>17</v>
      </c>
      <c r="H18" s="4">
        <v>361.8</v>
      </c>
      <c r="I18" s="1">
        <v>1116</v>
      </c>
      <c r="J18" s="1">
        <v>32</v>
      </c>
      <c r="K18" s="5">
        <v>12.3</v>
      </c>
      <c r="L18" s="5">
        <v>2.34</v>
      </c>
      <c r="M18" s="1">
        <v>27</v>
      </c>
    </row>
    <row r="19" spans="1:13" ht="13.4" customHeight="1" x14ac:dyDescent="0.35">
      <c r="A19" s="1">
        <v>18</v>
      </c>
      <c r="B19" s="1">
        <v>2024</v>
      </c>
      <c r="C19" s="1" t="s">
        <v>54</v>
      </c>
      <c r="D19" s="1" t="s">
        <v>19</v>
      </c>
      <c r="E19" s="1" t="s">
        <v>55</v>
      </c>
      <c r="F19" s="1" t="s">
        <v>56</v>
      </c>
      <c r="G19" s="1" t="s">
        <v>17</v>
      </c>
      <c r="H19" s="4">
        <v>278.94</v>
      </c>
      <c r="I19" s="1">
        <v>1905</v>
      </c>
      <c r="J19" s="1">
        <v>50</v>
      </c>
      <c r="K19" s="5">
        <v>7.25</v>
      </c>
      <c r="L19" s="5">
        <v>1.63</v>
      </c>
      <c r="M19" s="1">
        <v>33</v>
      </c>
    </row>
    <row r="20" spans="1:13" ht="13.4" customHeight="1" x14ac:dyDescent="0.35">
      <c r="A20" s="1">
        <v>19</v>
      </c>
      <c r="B20" s="1">
        <v>2025</v>
      </c>
      <c r="C20" s="1" t="s">
        <v>57</v>
      </c>
      <c r="D20" s="1" t="s">
        <v>19</v>
      </c>
      <c r="E20" s="1" t="s">
        <v>58</v>
      </c>
      <c r="F20" s="1" t="s">
        <v>56</v>
      </c>
      <c r="G20" s="1" t="s">
        <v>17</v>
      </c>
      <c r="H20" s="4">
        <v>107.44</v>
      </c>
      <c r="I20" s="1">
        <v>1593</v>
      </c>
      <c r="J20" s="1">
        <v>37</v>
      </c>
      <c r="K20" s="5">
        <v>3.65</v>
      </c>
      <c r="L20" s="5">
        <v>0.95</v>
      </c>
      <c r="M20" s="1">
        <v>27</v>
      </c>
    </row>
    <row r="21" spans="1:13" ht="13.4" customHeight="1" x14ac:dyDescent="0.35">
      <c r="A21" s="1">
        <v>20</v>
      </c>
      <c r="B21" s="1">
        <v>2026</v>
      </c>
      <c r="C21" s="1" t="s">
        <v>59</v>
      </c>
      <c r="D21" s="1" t="s">
        <v>14</v>
      </c>
      <c r="E21" s="1" t="s">
        <v>55</v>
      </c>
      <c r="F21" s="1" t="s">
        <v>25</v>
      </c>
      <c r="G21" s="1" t="s">
        <v>17</v>
      </c>
      <c r="H21" s="4">
        <v>109.25</v>
      </c>
      <c r="I21" s="1">
        <v>1880</v>
      </c>
      <c r="J21" s="1">
        <v>72</v>
      </c>
      <c r="K21" s="5">
        <v>3.17</v>
      </c>
      <c r="L21" s="5">
        <v>0.38</v>
      </c>
      <c r="M21" s="1">
        <v>30</v>
      </c>
    </row>
    <row r="22" spans="1:13" ht="13.4" customHeight="1" x14ac:dyDescent="0.35">
      <c r="A22" s="1">
        <v>21</v>
      </c>
      <c r="B22" s="1">
        <v>2022</v>
      </c>
      <c r="C22" s="1" t="s">
        <v>60</v>
      </c>
      <c r="D22" s="1" t="s">
        <v>23</v>
      </c>
      <c r="E22" s="1" t="s">
        <v>55</v>
      </c>
      <c r="F22" s="1" t="s">
        <v>16</v>
      </c>
      <c r="G22" s="1" t="s">
        <v>17</v>
      </c>
      <c r="H22" s="4">
        <v>183.26</v>
      </c>
      <c r="I22" s="1">
        <v>1455</v>
      </c>
      <c r="J22" s="1">
        <v>48</v>
      </c>
      <c r="K22" s="5">
        <v>5.31</v>
      </c>
      <c r="L22" s="5">
        <v>0.82</v>
      </c>
      <c r="M22" s="1">
        <v>26</v>
      </c>
    </row>
    <row r="23" spans="1:13" ht="13.4" customHeight="1" x14ac:dyDescent="0.35">
      <c r="A23" s="1">
        <v>22</v>
      </c>
      <c r="B23" s="1">
        <v>2023</v>
      </c>
      <c r="C23" s="1" t="s">
        <v>61</v>
      </c>
      <c r="D23" s="1" t="s">
        <v>40</v>
      </c>
      <c r="E23" s="1" t="s">
        <v>28</v>
      </c>
      <c r="F23" s="1" t="s">
        <v>16</v>
      </c>
      <c r="G23" s="1" t="s">
        <v>26</v>
      </c>
      <c r="H23" s="4">
        <v>67.099999999999994</v>
      </c>
      <c r="I23" s="1">
        <v>807</v>
      </c>
      <c r="J23" s="1">
        <v>23</v>
      </c>
      <c r="K23" s="5">
        <v>1.95</v>
      </c>
      <c r="L23" s="5">
        <v>0.37</v>
      </c>
      <c r="M23" s="1">
        <v>16</v>
      </c>
    </row>
    <row r="24" spans="1:13" ht="13.4" customHeight="1" x14ac:dyDescent="0.35">
      <c r="A24" s="1">
        <v>23</v>
      </c>
      <c r="B24" s="1">
        <v>2024</v>
      </c>
      <c r="C24" s="1" t="s">
        <v>62</v>
      </c>
      <c r="D24" s="1" t="s">
        <v>30</v>
      </c>
      <c r="E24" s="1" t="s">
        <v>41</v>
      </c>
      <c r="F24" s="1" t="s">
        <v>25</v>
      </c>
      <c r="G24" s="1" t="s">
        <v>17</v>
      </c>
      <c r="H24" s="4">
        <v>153</v>
      </c>
      <c r="I24" s="1">
        <v>1190</v>
      </c>
      <c r="J24" s="1">
        <v>31</v>
      </c>
      <c r="K24" s="5">
        <v>4.13</v>
      </c>
      <c r="L24" s="5">
        <v>0.93</v>
      </c>
      <c r="M24" s="1">
        <v>22</v>
      </c>
    </row>
    <row r="25" spans="1:13" ht="13.4" customHeight="1" x14ac:dyDescent="0.35">
      <c r="A25" s="1">
        <v>24</v>
      </c>
      <c r="B25" s="1">
        <v>2025</v>
      </c>
      <c r="C25" s="1" t="s">
        <v>63</v>
      </c>
      <c r="D25" s="1" t="s">
        <v>14</v>
      </c>
      <c r="E25" s="1" t="s">
        <v>64</v>
      </c>
      <c r="F25" s="1" t="s">
        <v>56</v>
      </c>
      <c r="G25" s="1" t="s">
        <v>17</v>
      </c>
      <c r="H25" s="4">
        <v>436.8</v>
      </c>
      <c r="I25" s="1">
        <v>1202</v>
      </c>
      <c r="J25" s="1">
        <v>28</v>
      </c>
      <c r="K25" s="5">
        <v>14.41</v>
      </c>
      <c r="L25" s="5">
        <v>3.75</v>
      </c>
      <c r="M25" s="1">
        <v>30</v>
      </c>
    </row>
    <row r="26" spans="1:13" ht="13.4" customHeight="1" x14ac:dyDescent="0.35">
      <c r="A26" s="1">
        <v>25</v>
      </c>
      <c r="B26" s="1">
        <v>2026</v>
      </c>
      <c r="C26" s="1" t="s">
        <v>65</v>
      </c>
      <c r="D26" s="1" t="s">
        <v>30</v>
      </c>
      <c r="E26" s="1" t="s">
        <v>66</v>
      </c>
      <c r="F26" s="1" t="s">
        <v>67</v>
      </c>
      <c r="G26" s="1" t="s">
        <v>21</v>
      </c>
      <c r="H26" s="4">
        <v>646.6</v>
      </c>
      <c r="I26" s="1">
        <v>1528</v>
      </c>
      <c r="J26" s="1">
        <v>58</v>
      </c>
      <c r="K26" s="5">
        <v>21.98</v>
      </c>
      <c r="L26" s="5">
        <v>2.64</v>
      </c>
      <c r="M26" s="1">
        <v>39</v>
      </c>
    </row>
    <row r="27" spans="1:13" ht="13.4" customHeight="1" x14ac:dyDescent="0.35">
      <c r="A27" s="1">
        <v>26</v>
      </c>
      <c r="B27" s="1">
        <v>2022</v>
      </c>
      <c r="C27" s="1" t="s">
        <v>68</v>
      </c>
      <c r="D27" s="1" t="s">
        <v>23</v>
      </c>
      <c r="E27" s="1" t="s">
        <v>69</v>
      </c>
      <c r="F27" s="1" t="s">
        <v>70</v>
      </c>
      <c r="G27" s="1" t="s">
        <v>21</v>
      </c>
      <c r="H27" s="4">
        <v>901.8</v>
      </c>
      <c r="I27" s="1">
        <v>1907</v>
      </c>
      <c r="J27" s="1">
        <v>63</v>
      </c>
      <c r="K27" s="5">
        <v>29.76</v>
      </c>
      <c r="L27" s="5">
        <v>4.6100000000000003</v>
      </c>
      <c r="M27" s="1">
        <v>49</v>
      </c>
    </row>
    <row r="28" spans="1:13" ht="13.4" customHeight="1" x14ac:dyDescent="0.35">
      <c r="A28" s="1">
        <v>27</v>
      </c>
      <c r="B28" s="1">
        <v>2023</v>
      </c>
      <c r="C28" s="1" t="s">
        <v>71</v>
      </c>
      <c r="D28" s="1" t="s">
        <v>33</v>
      </c>
      <c r="E28" s="1" t="s">
        <v>34</v>
      </c>
      <c r="F28" s="1" t="s">
        <v>56</v>
      </c>
      <c r="G28" s="1" t="s">
        <v>17</v>
      </c>
      <c r="H28" s="4">
        <v>225.4</v>
      </c>
      <c r="I28" s="1">
        <v>834</v>
      </c>
      <c r="J28" s="1">
        <v>24</v>
      </c>
      <c r="K28" s="5">
        <v>12.85</v>
      </c>
      <c r="L28" s="5">
        <v>2.44</v>
      </c>
      <c r="M28" s="1">
        <v>24</v>
      </c>
    </row>
    <row r="29" spans="1:13" ht="13.4" customHeight="1" x14ac:dyDescent="0.35">
      <c r="A29" s="1">
        <v>28</v>
      </c>
      <c r="B29" s="1">
        <v>2024</v>
      </c>
      <c r="C29" s="1" t="s">
        <v>72</v>
      </c>
      <c r="D29" s="1" t="s">
        <v>19</v>
      </c>
      <c r="E29" s="1" t="s">
        <v>15</v>
      </c>
      <c r="F29" s="1" t="s">
        <v>25</v>
      </c>
      <c r="G29" s="1" t="s">
        <v>21</v>
      </c>
      <c r="H29" s="4">
        <v>507.6</v>
      </c>
      <c r="I29" s="1">
        <v>1528</v>
      </c>
      <c r="J29" s="1">
        <v>40</v>
      </c>
      <c r="K29" s="5">
        <v>19.29</v>
      </c>
      <c r="L29" s="5">
        <v>4.34</v>
      </c>
      <c r="M29" s="1">
        <v>37</v>
      </c>
    </row>
    <row r="30" spans="1:13" ht="13.4" customHeight="1" x14ac:dyDescent="0.35">
      <c r="A30" s="1">
        <v>29</v>
      </c>
      <c r="B30" s="1">
        <v>2025</v>
      </c>
      <c r="C30" s="1" t="s">
        <v>73</v>
      </c>
      <c r="D30" s="1" t="s">
        <v>30</v>
      </c>
      <c r="E30" s="1" t="s">
        <v>20</v>
      </c>
      <c r="F30" s="1" t="s">
        <v>67</v>
      </c>
      <c r="G30" s="1" t="s">
        <v>21</v>
      </c>
      <c r="H30" s="4">
        <v>691.2</v>
      </c>
      <c r="I30" s="1">
        <v>2424</v>
      </c>
      <c r="J30" s="1">
        <v>57</v>
      </c>
      <c r="K30" s="5">
        <v>22.12</v>
      </c>
      <c r="L30" s="5">
        <v>5.75</v>
      </c>
      <c r="M30" s="1">
        <v>50</v>
      </c>
    </row>
    <row r="31" spans="1:13" ht="13.4" customHeight="1" x14ac:dyDescent="0.35">
      <c r="A31" s="1">
        <v>30</v>
      </c>
      <c r="B31" s="1">
        <v>2026</v>
      </c>
      <c r="C31" s="1" t="s">
        <v>74</v>
      </c>
      <c r="D31" s="1" t="s">
        <v>51</v>
      </c>
      <c r="E31" s="1" t="s">
        <v>38</v>
      </c>
      <c r="F31" s="1" t="s">
        <v>16</v>
      </c>
      <c r="G31" s="1" t="s">
        <v>21</v>
      </c>
      <c r="H31" s="4">
        <v>1215.2</v>
      </c>
      <c r="I31" s="1">
        <v>2212</v>
      </c>
      <c r="J31" s="1">
        <v>85</v>
      </c>
      <c r="K31" s="5">
        <v>61.98</v>
      </c>
      <c r="L31" s="5">
        <v>7.44</v>
      </c>
      <c r="M31" s="1">
        <v>75</v>
      </c>
    </row>
    <row r="32" spans="1:13" ht="13.4" customHeight="1" x14ac:dyDescent="0.35">
      <c r="A32" s="1">
        <v>31</v>
      </c>
      <c r="B32" s="1">
        <v>2022</v>
      </c>
      <c r="C32" s="1" t="s">
        <v>75</v>
      </c>
      <c r="D32" s="1" t="s">
        <v>14</v>
      </c>
      <c r="E32" s="1" t="s">
        <v>76</v>
      </c>
      <c r="F32" s="1" t="s">
        <v>25</v>
      </c>
      <c r="G32" s="1" t="s">
        <v>17</v>
      </c>
      <c r="H32" s="4">
        <v>360</v>
      </c>
      <c r="I32" s="1">
        <v>1114</v>
      </c>
      <c r="J32" s="1">
        <v>37</v>
      </c>
      <c r="K32" s="5">
        <v>11.88</v>
      </c>
      <c r="L32" s="5">
        <v>1.84</v>
      </c>
      <c r="M32" s="1">
        <v>27</v>
      </c>
    </row>
    <row r="33" spans="1:13" ht="13.4" customHeight="1" x14ac:dyDescent="0.35">
      <c r="A33" s="1">
        <v>32</v>
      </c>
      <c r="B33" s="1">
        <v>2023</v>
      </c>
      <c r="C33" s="1" t="s">
        <v>77</v>
      </c>
      <c r="D33" s="1" t="s">
        <v>40</v>
      </c>
      <c r="E33" s="1" t="s">
        <v>78</v>
      </c>
      <c r="F33" s="1" t="s">
        <v>56</v>
      </c>
      <c r="G33" s="1" t="s">
        <v>17</v>
      </c>
      <c r="H33" s="4">
        <v>438.6</v>
      </c>
      <c r="I33" s="1">
        <v>1539</v>
      </c>
      <c r="J33" s="1">
        <v>45</v>
      </c>
      <c r="K33" s="5">
        <v>14.04</v>
      </c>
      <c r="L33" s="5">
        <v>2.67</v>
      </c>
      <c r="M33" s="1">
        <v>33</v>
      </c>
    </row>
    <row r="34" spans="1:13" ht="13.4" customHeight="1" x14ac:dyDescent="0.35">
      <c r="A34" s="1">
        <v>33</v>
      </c>
      <c r="B34" s="1">
        <v>2024</v>
      </c>
      <c r="C34" s="1" t="s">
        <v>79</v>
      </c>
      <c r="D34" s="1" t="s">
        <v>23</v>
      </c>
      <c r="E34" s="1" t="s">
        <v>80</v>
      </c>
      <c r="F34" s="1" t="s">
        <v>25</v>
      </c>
      <c r="G34" s="1" t="s">
        <v>21</v>
      </c>
      <c r="H34" s="4">
        <v>925.6</v>
      </c>
      <c r="I34" s="1">
        <v>1934</v>
      </c>
      <c r="J34" s="1">
        <v>50</v>
      </c>
      <c r="K34" s="5">
        <v>30.54</v>
      </c>
      <c r="L34" s="5">
        <v>6.87</v>
      </c>
      <c r="M34" s="1">
        <v>50</v>
      </c>
    </row>
    <row r="35" spans="1:13" ht="13.4" customHeight="1" x14ac:dyDescent="0.35">
      <c r="A35" s="1">
        <v>34</v>
      </c>
      <c r="B35" s="1">
        <v>2025</v>
      </c>
      <c r="C35" s="1" t="s">
        <v>81</v>
      </c>
      <c r="D35" s="1" t="s">
        <v>33</v>
      </c>
      <c r="E35" s="1" t="s">
        <v>82</v>
      </c>
      <c r="F35" s="1" t="s">
        <v>16</v>
      </c>
      <c r="G35" s="1" t="s">
        <v>17</v>
      </c>
      <c r="H35" s="4">
        <v>217.3</v>
      </c>
      <c r="I35" s="1">
        <v>1204</v>
      </c>
      <c r="J35" s="1">
        <v>28</v>
      </c>
      <c r="K35" s="5">
        <v>7.61</v>
      </c>
      <c r="L35" s="5">
        <v>1.98</v>
      </c>
      <c r="M35" s="1">
        <v>25</v>
      </c>
    </row>
    <row r="36" spans="1:13" ht="13.4" customHeight="1" x14ac:dyDescent="0.35">
      <c r="A36" s="1">
        <v>35</v>
      </c>
      <c r="B36" s="1">
        <v>2026</v>
      </c>
      <c r="C36" s="1" t="s">
        <v>83</v>
      </c>
      <c r="D36" s="1" t="s">
        <v>30</v>
      </c>
      <c r="E36" s="1" t="s">
        <v>84</v>
      </c>
      <c r="F36" s="1" t="s">
        <v>70</v>
      </c>
      <c r="G36" s="1" t="s">
        <v>21</v>
      </c>
      <c r="H36" s="4">
        <v>1188</v>
      </c>
      <c r="I36" s="1">
        <v>1811</v>
      </c>
      <c r="J36" s="1">
        <v>69</v>
      </c>
      <c r="K36" s="5">
        <v>53.46</v>
      </c>
      <c r="L36" s="5">
        <v>6.42</v>
      </c>
      <c r="M36" s="1">
        <v>64</v>
      </c>
    </row>
    <row r="37" spans="1:13" ht="13.4" customHeight="1" x14ac:dyDescent="0.35">
      <c r="A37" s="1">
        <v>36</v>
      </c>
      <c r="B37" s="1">
        <v>2022</v>
      </c>
      <c r="C37" s="1" t="s">
        <v>85</v>
      </c>
      <c r="D37" s="1" t="s">
        <v>19</v>
      </c>
      <c r="E37" s="1" t="s">
        <v>86</v>
      </c>
      <c r="F37" s="1" t="s">
        <v>67</v>
      </c>
      <c r="G37" s="1" t="s">
        <v>26</v>
      </c>
      <c r="H37" s="4">
        <v>87.4</v>
      </c>
      <c r="I37" s="1">
        <v>630</v>
      </c>
      <c r="J37" s="1">
        <v>21</v>
      </c>
      <c r="K37" s="5">
        <v>2.27</v>
      </c>
      <c r="L37" s="5">
        <v>0.35</v>
      </c>
      <c r="M37" s="1">
        <v>15</v>
      </c>
    </row>
    <row r="38" spans="1:13" ht="13.4" customHeight="1" x14ac:dyDescent="0.35">
      <c r="A38" s="1">
        <v>37</v>
      </c>
      <c r="B38" s="1">
        <v>2023</v>
      </c>
      <c r="C38" s="1" t="s">
        <v>87</v>
      </c>
      <c r="D38" s="1" t="s">
        <v>14</v>
      </c>
      <c r="E38" s="1" t="s">
        <v>88</v>
      </c>
      <c r="F38" s="1" t="s">
        <v>56</v>
      </c>
      <c r="G38" s="1" t="s">
        <v>17</v>
      </c>
      <c r="H38" s="4">
        <v>258.5</v>
      </c>
      <c r="I38" s="1">
        <v>912</v>
      </c>
      <c r="J38" s="1">
        <v>26</v>
      </c>
      <c r="K38" s="5">
        <v>8.5299999999999994</v>
      </c>
      <c r="L38" s="5">
        <v>1.62</v>
      </c>
      <c r="M38" s="1">
        <v>22</v>
      </c>
    </row>
    <row r="39" spans="1:13" ht="13.4" customHeight="1" x14ac:dyDescent="0.35">
      <c r="A39" s="1">
        <v>38</v>
      </c>
      <c r="B39" s="1">
        <v>2024</v>
      </c>
      <c r="C39" s="1" t="s">
        <v>89</v>
      </c>
      <c r="D39" s="1" t="s">
        <v>40</v>
      </c>
      <c r="E39" s="1" t="s">
        <v>41</v>
      </c>
      <c r="F39" s="1" t="s">
        <v>25</v>
      </c>
      <c r="G39" s="1" t="s">
        <v>17</v>
      </c>
      <c r="H39" s="4">
        <v>499.2</v>
      </c>
      <c r="I39" s="1">
        <v>1674</v>
      </c>
      <c r="J39" s="1">
        <v>44</v>
      </c>
      <c r="K39" s="5">
        <v>12.48</v>
      </c>
      <c r="L39" s="5">
        <v>2.81</v>
      </c>
      <c r="M39" s="1">
        <v>34</v>
      </c>
    </row>
    <row r="40" spans="1:13" ht="13.4" customHeight="1" x14ac:dyDescent="0.35">
      <c r="A40" s="1">
        <v>39</v>
      </c>
      <c r="B40" s="1">
        <v>2025</v>
      </c>
      <c r="C40" s="1" t="s">
        <v>90</v>
      </c>
      <c r="D40" s="1" t="s">
        <v>23</v>
      </c>
      <c r="E40" s="1" t="s">
        <v>58</v>
      </c>
      <c r="F40" s="1" t="s">
        <v>56</v>
      </c>
      <c r="G40" s="1" t="s">
        <v>21</v>
      </c>
      <c r="H40" s="4">
        <v>666.4</v>
      </c>
      <c r="I40" s="1">
        <v>2151</v>
      </c>
      <c r="J40" s="1">
        <v>51</v>
      </c>
      <c r="K40" s="5">
        <v>24.66</v>
      </c>
      <c r="L40" s="5">
        <v>6.41</v>
      </c>
      <c r="M40" s="1">
        <v>48</v>
      </c>
    </row>
    <row r="41" spans="1:13" ht="13.4" customHeight="1" x14ac:dyDescent="0.35">
      <c r="A41" s="1">
        <v>40</v>
      </c>
      <c r="B41" s="1">
        <v>2026</v>
      </c>
      <c r="C41" s="1" t="s">
        <v>91</v>
      </c>
      <c r="D41" s="1" t="s">
        <v>51</v>
      </c>
      <c r="E41" s="1" t="s">
        <v>34</v>
      </c>
      <c r="F41" s="1" t="s">
        <v>16</v>
      </c>
      <c r="G41" s="1" t="s">
        <v>17</v>
      </c>
      <c r="H41" s="4">
        <v>132</v>
      </c>
      <c r="I41" s="1">
        <v>641</v>
      </c>
      <c r="J41" s="1">
        <v>24</v>
      </c>
      <c r="K41" s="5">
        <v>7.66</v>
      </c>
      <c r="L41" s="5">
        <v>0.92</v>
      </c>
      <c r="M41" s="1">
        <v>18</v>
      </c>
    </row>
    <row r="42" spans="1:13" ht="13.4" customHeight="1" x14ac:dyDescent="0.35">
      <c r="A42" s="1">
        <v>41</v>
      </c>
      <c r="B42" s="1">
        <v>2022</v>
      </c>
      <c r="C42" s="1" t="s">
        <v>92</v>
      </c>
      <c r="D42" s="1" t="s">
        <v>30</v>
      </c>
      <c r="E42" s="1" t="s">
        <v>15</v>
      </c>
      <c r="F42" s="1" t="s">
        <v>67</v>
      </c>
      <c r="G42" s="1" t="s">
        <v>17</v>
      </c>
      <c r="H42" s="4">
        <v>464.1</v>
      </c>
      <c r="I42" s="1">
        <v>1988</v>
      </c>
      <c r="J42" s="1">
        <v>66</v>
      </c>
      <c r="K42" s="5">
        <v>19.489999999999998</v>
      </c>
      <c r="L42" s="5">
        <v>3.02</v>
      </c>
      <c r="M42" s="1">
        <v>43</v>
      </c>
    </row>
    <row r="43" spans="1:13" ht="13.4" customHeight="1" x14ac:dyDescent="0.35">
      <c r="A43" s="1">
        <v>42</v>
      </c>
      <c r="B43" s="1">
        <v>2023</v>
      </c>
      <c r="C43" s="1" t="s">
        <v>93</v>
      </c>
      <c r="D43" s="1" t="s">
        <v>14</v>
      </c>
      <c r="E43" s="1" t="s">
        <v>94</v>
      </c>
      <c r="F43" s="1" t="s">
        <v>25</v>
      </c>
      <c r="G43" s="1" t="s">
        <v>17</v>
      </c>
      <c r="H43" s="4">
        <v>322.39999999999998</v>
      </c>
      <c r="I43" s="1">
        <v>815</v>
      </c>
      <c r="J43" s="1">
        <v>23</v>
      </c>
      <c r="K43" s="5">
        <v>10.64</v>
      </c>
      <c r="L43" s="5">
        <v>2.02</v>
      </c>
      <c r="M43" s="1">
        <v>23</v>
      </c>
    </row>
    <row r="44" spans="1:13" ht="13.4" customHeight="1" x14ac:dyDescent="0.35">
      <c r="A44" s="1">
        <v>43</v>
      </c>
      <c r="B44" s="1">
        <v>2024</v>
      </c>
      <c r="C44" s="1" t="s">
        <v>95</v>
      </c>
      <c r="D44" s="1" t="s">
        <v>19</v>
      </c>
      <c r="E44" s="1" t="s">
        <v>96</v>
      </c>
      <c r="F44" s="1" t="s">
        <v>25</v>
      </c>
      <c r="G44" s="1" t="s">
        <v>21</v>
      </c>
      <c r="H44" s="4">
        <v>826.8</v>
      </c>
      <c r="I44" s="1">
        <v>1480</v>
      </c>
      <c r="J44" s="1">
        <v>38</v>
      </c>
      <c r="K44" s="5">
        <v>24.8</v>
      </c>
      <c r="L44" s="5">
        <v>5.58</v>
      </c>
      <c r="M44" s="1">
        <v>40</v>
      </c>
    </row>
    <row r="45" spans="1:13" ht="13.4" customHeight="1" x14ac:dyDescent="0.35">
      <c r="A45" s="1">
        <v>44</v>
      </c>
      <c r="B45" s="1">
        <v>2025</v>
      </c>
      <c r="C45" s="1" t="s">
        <v>97</v>
      </c>
      <c r="D45" s="1" t="s">
        <v>40</v>
      </c>
      <c r="E45" s="1" t="s">
        <v>20</v>
      </c>
      <c r="F45" s="1" t="s">
        <v>56</v>
      </c>
      <c r="G45" s="1" t="s">
        <v>17</v>
      </c>
      <c r="H45" s="4">
        <v>286.2</v>
      </c>
      <c r="I45" s="1">
        <v>2044</v>
      </c>
      <c r="J45" s="1">
        <v>48</v>
      </c>
      <c r="K45" s="5">
        <v>8.59</v>
      </c>
      <c r="L45" s="5">
        <v>2.23</v>
      </c>
      <c r="M45" s="1">
        <v>36</v>
      </c>
    </row>
    <row r="46" spans="1:13" ht="13.4" customHeight="1" x14ac:dyDescent="0.35">
      <c r="A46" s="1">
        <v>45</v>
      </c>
      <c r="B46" s="1">
        <v>2026</v>
      </c>
      <c r="C46" s="1" t="s">
        <v>98</v>
      </c>
      <c r="D46" s="1" t="s">
        <v>23</v>
      </c>
      <c r="E46" s="1" t="s">
        <v>78</v>
      </c>
      <c r="F46" s="1" t="s">
        <v>25</v>
      </c>
      <c r="G46" s="1" t="s">
        <v>17</v>
      </c>
      <c r="H46" s="4">
        <v>358.8</v>
      </c>
      <c r="I46" s="1">
        <v>1362</v>
      </c>
      <c r="J46" s="1">
        <v>52</v>
      </c>
      <c r="K46" s="5">
        <v>11.84</v>
      </c>
      <c r="L46" s="5">
        <v>1.42</v>
      </c>
      <c r="M46" s="1">
        <v>30</v>
      </c>
    </row>
    <row r="47" spans="1:13" ht="13.4" customHeight="1" x14ac:dyDescent="0.35">
      <c r="A47" s="1">
        <v>46</v>
      </c>
      <c r="B47" s="1">
        <v>2022</v>
      </c>
      <c r="C47" s="1" t="s">
        <v>99</v>
      </c>
      <c r="D47" s="1" t="s">
        <v>30</v>
      </c>
      <c r="E47" s="1" t="s">
        <v>100</v>
      </c>
      <c r="F47" s="1" t="s">
        <v>70</v>
      </c>
      <c r="G47" s="1" t="s">
        <v>21</v>
      </c>
      <c r="H47" s="4">
        <v>573.4</v>
      </c>
      <c r="I47" s="1">
        <v>1444</v>
      </c>
      <c r="J47" s="1">
        <v>48</v>
      </c>
      <c r="K47" s="5">
        <v>19.5</v>
      </c>
      <c r="L47" s="5">
        <v>3.02</v>
      </c>
      <c r="M47" s="1">
        <v>36</v>
      </c>
    </row>
    <row r="48" spans="1:13" ht="13.4" customHeight="1" x14ac:dyDescent="0.35">
      <c r="A48" s="1">
        <v>47</v>
      </c>
      <c r="B48" s="1">
        <v>2023</v>
      </c>
      <c r="C48" s="1" t="s">
        <v>101</v>
      </c>
      <c r="D48" s="1" t="s">
        <v>51</v>
      </c>
      <c r="E48" s="1" t="s">
        <v>102</v>
      </c>
      <c r="F48" s="1" t="s">
        <v>25</v>
      </c>
      <c r="G48" s="1" t="s">
        <v>21</v>
      </c>
      <c r="H48" s="4">
        <v>681.6</v>
      </c>
      <c r="I48" s="1">
        <v>1653</v>
      </c>
      <c r="J48" s="1">
        <v>48</v>
      </c>
      <c r="K48" s="5">
        <v>24.54</v>
      </c>
      <c r="L48" s="5">
        <v>4.66</v>
      </c>
      <c r="M48" s="1">
        <v>42</v>
      </c>
    </row>
    <row r="49" spans="1:13" ht="13.4" customHeight="1" x14ac:dyDescent="0.35">
      <c r="A49" s="1">
        <v>48</v>
      </c>
      <c r="B49" s="1">
        <v>2024</v>
      </c>
      <c r="C49" s="1" t="s">
        <v>103</v>
      </c>
      <c r="D49" s="1" t="s">
        <v>33</v>
      </c>
      <c r="E49" s="1" t="s">
        <v>31</v>
      </c>
      <c r="F49" s="1" t="s">
        <v>67</v>
      </c>
      <c r="G49" s="1" t="s">
        <v>21</v>
      </c>
      <c r="H49" s="4">
        <v>960.4</v>
      </c>
      <c r="I49" s="1">
        <v>2209</v>
      </c>
      <c r="J49" s="1">
        <v>58</v>
      </c>
      <c r="K49" s="5">
        <v>35.53</v>
      </c>
      <c r="L49" s="5">
        <v>7.99</v>
      </c>
      <c r="M49" s="1">
        <v>56</v>
      </c>
    </row>
    <row r="50" spans="1:13" ht="13.4" customHeight="1" x14ac:dyDescent="0.35">
      <c r="A50" s="1">
        <v>49</v>
      </c>
      <c r="B50" s="1">
        <v>2025</v>
      </c>
      <c r="C50" s="1" t="s">
        <v>104</v>
      </c>
      <c r="D50" s="1" t="s">
        <v>19</v>
      </c>
      <c r="E50" s="1" t="s">
        <v>105</v>
      </c>
      <c r="F50" s="1" t="s">
        <v>16</v>
      </c>
      <c r="G50" s="1" t="s">
        <v>17</v>
      </c>
      <c r="H50" s="4">
        <v>345</v>
      </c>
      <c r="I50" s="1">
        <v>841</v>
      </c>
      <c r="J50" s="1">
        <v>20</v>
      </c>
      <c r="K50" s="5">
        <v>10.35</v>
      </c>
      <c r="L50" s="5">
        <v>2.69</v>
      </c>
      <c r="M50" s="1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>
      <selection activeCell="G10" sqref="G10"/>
    </sheetView>
  </sheetViews>
  <sheetFormatPr defaultRowHeight="14.5" x14ac:dyDescent="0.35"/>
  <cols>
    <col min="1" max="2" width="8" customWidth="1"/>
    <col min="3" max="3" width="22" customWidth="1"/>
    <col min="4" max="4" width="12" customWidth="1"/>
    <col min="5" max="6" width="10" customWidth="1"/>
    <col min="7" max="9" width="18" customWidth="1"/>
    <col min="10" max="10" width="20" customWidth="1"/>
    <col min="11" max="11" width="18" customWidth="1"/>
    <col min="12" max="13" width="16" customWidth="1"/>
    <col min="14" max="14" width="42" customWidth="1"/>
  </cols>
  <sheetData>
    <row r="1" spans="1:14" ht="22.65" customHeight="1" x14ac:dyDescent="0.35">
      <c r="A1" s="3" t="s">
        <v>0</v>
      </c>
      <c r="B1" s="3" t="s">
        <v>1</v>
      </c>
      <c r="C1" s="3" t="s">
        <v>2</v>
      </c>
      <c r="D1" s="3" t="s">
        <v>10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</v>
      </c>
      <c r="L1" s="3" t="s">
        <v>112</v>
      </c>
      <c r="M1" s="3" t="s">
        <v>113</v>
      </c>
      <c r="N1" s="3" t="s">
        <v>114</v>
      </c>
    </row>
    <row r="2" spans="1:14" ht="13.4" customHeight="1" x14ac:dyDescent="0.35">
      <c r="A2" s="2">
        <v>1</v>
      </c>
      <c r="B2" s="1">
        <v>2022</v>
      </c>
      <c r="C2" s="1" t="s">
        <v>13</v>
      </c>
      <c r="D2" s="5">
        <v>8.48</v>
      </c>
      <c r="E2" s="5">
        <v>0.89</v>
      </c>
      <c r="F2" s="5">
        <v>7.59</v>
      </c>
      <c r="G2" s="5">
        <v>2.39</v>
      </c>
      <c r="H2" s="5">
        <v>1.1000000000000001</v>
      </c>
      <c r="I2" s="5">
        <v>1.56</v>
      </c>
      <c r="J2" s="5">
        <v>1.35</v>
      </c>
      <c r="K2" s="5">
        <v>1.31</v>
      </c>
      <c r="L2" s="5">
        <v>5.73</v>
      </c>
      <c r="M2" s="5">
        <v>1.35</v>
      </c>
      <c r="N2" s="1" t="s">
        <v>115</v>
      </c>
    </row>
    <row r="3" spans="1:14" ht="13.4" customHeight="1" x14ac:dyDescent="0.35">
      <c r="A3" s="1">
        <v>2</v>
      </c>
      <c r="B3" s="1">
        <v>2023</v>
      </c>
      <c r="C3" s="1" t="s">
        <v>18</v>
      </c>
      <c r="D3" s="5">
        <f t="shared" ref="D3:D50" si="0">SUM(E3:F3)</f>
        <v>25.54</v>
      </c>
      <c r="E3" s="5">
        <v>3.32</v>
      </c>
      <c r="F3" s="5">
        <v>22.22</v>
      </c>
      <c r="G3" s="5">
        <v>7.78</v>
      </c>
      <c r="H3" s="5">
        <v>3.78</v>
      </c>
      <c r="I3" s="5">
        <v>5.1100000000000003</v>
      </c>
      <c r="J3" s="5">
        <v>3.39</v>
      </c>
      <c r="K3" s="5">
        <v>4.8499999999999996</v>
      </c>
      <c r="L3" s="5">
        <v>17.55</v>
      </c>
      <c r="M3" s="5">
        <v>5.0199999999999996</v>
      </c>
      <c r="N3" s="1" t="s">
        <v>116</v>
      </c>
    </row>
    <row r="4" spans="1:14" ht="13.4" customHeight="1" x14ac:dyDescent="0.35">
      <c r="A4" s="1">
        <v>3</v>
      </c>
      <c r="B4" s="1">
        <v>2024</v>
      </c>
      <c r="C4" s="1" t="s">
        <v>22</v>
      </c>
      <c r="D4" s="5">
        <f t="shared" si="0"/>
        <v>3.2699999999999996</v>
      </c>
      <c r="E4" s="5">
        <v>0.51</v>
      </c>
      <c r="F4" s="5">
        <v>2.76</v>
      </c>
      <c r="G4" s="5">
        <v>1.06</v>
      </c>
      <c r="H4" s="5">
        <v>0.54</v>
      </c>
      <c r="I4" s="5">
        <v>0.7</v>
      </c>
      <c r="J4" s="5">
        <v>0.21</v>
      </c>
      <c r="K4" s="5">
        <v>0.74</v>
      </c>
      <c r="L4" s="5">
        <v>2.2799999999999998</v>
      </c>
      <c r="M4" s="5">
        <v>0.77</v>
      </c>
      <c r="N4" s="1" t="s">
        <v>117</v>
      </c>
    </row>
    <row r="5" spans="1:14" ht="13.4" customHeight="1" x14ac:dyDescent="0.35">
      <c r="A5" s="1">
        <v>4</v>
      </c>
      <c r="B5" s="1">
        <v>2025</v>
      </c>
      <c r="C5" s="1" t="s">
        <v>27</v>
      </c>
      <c r="D5" s="5">
        <f t="shared" si="0"/>
        <v>0.4</v>
      </c>
      <c r="E5" s="5">
        <v>7.0000000000000007E-2</v>
      </c>
      <c r="F5" s="5">
        <v>0.33</v>
      </c>
      <c r="G5" s="5">
        <v>0.14000000000000001</v>
      </c>
      <c r="H5" s="5">
        <v>7.0000000000000007E-2</v>
      </c>
      <c r="I5" s="5">
        <v>0.06</v>
      </c>
      <c r="J5" s="5">
        <v>0.03</v>
      </c>
      <c r="K5" s="5">
        <v>0.1</v>
      </c>
      <c r="L5" s="5">
        <v>0.24</v>
      </c>
      <c r="M5" s="5">
        <v>0.11</v>
      </c>
      <c r="N5" s="1" t="s">
        <v>118</v>
      </c>
    </row>
    <row r="6" spans="1:14" ht="13.4" customHeight="1" x14ac:dyDescent="0.35">
      <c r="A6" s="1">
        <v>5</v>
      </c>
      <c r="B6" s="1">
        <v>2026</v>
      </c>
      <c r="C6" s="1" t="s">
        <v>29</v>
      </c>
      <c r="D6" s="5">
        <f t="shared" si="0"/>
        <v>58.02</v>
      </c>
      <c r="E6" s="5">
        <v>11.89</v>
      </c>
      <c r="F6" s="5">
        <v>46.13</v>
      </c>
      <c r="G6" s="5">
        <v>20.99</v>
      </c>
      <c r="H6" s="5">
        <v>5.54</v>
      </c>
      <c r="I6" s="5">
        <v>9.4600000000000009</v>
      </c>
      <c r="J6" s="5">
        <v>6.19</v>
      </c>
      <c r="K6" s="5">
        <v>6.96</v>
      </c>
      <c r="L6" s="5">
        <v>34.83</v>
      </c>
      <c r="M6" s="5">
        <v>14.33</v>
      </c>
      <c r="N6" s="1" t="s">
        <v>119</v>
      </c>
    </row>
    <row r="7" spans="1:14" ht="13.4" customHeight="1" x14ac:dyDescent="0.35">
      <c r="A7" s="1">
        <v>6</v>
      </c>
      <c r="B7" s="1">
        <v>2022</v>
      </c>
      <c r="C7" s="1" t="s">
        <v>32</v>
      </c>
      <c r="D7" s="5">
        <f t="shared" si="0"/>
        <v>18.8</v>
      </c>
      <c r="E7" s="5">
        <v>4.32</v>
      </c>
      <c r="F7" s="5">
        <v>14.48</v>
      </c>
      <c r="G7" s="5">
        <v>4.05</v>
      </c>
      <c r="H7" s="5">
        <v>2.1</v>
      </c>
      <c r="I7" s="5">
        <v>3.33</v>
      </c>
      <c r="J7" s="5">
        <v>2.25</v>
      </c>
      <c r="K7" s="5">
        <v>2.91</v>
      </c>
      <c r="L7" s="5">
        <v>11.44</v>
      </c>
      <c r="M7" s="5">
        <v>5.34</v>
      </c>
      <c r="N7" s="1" t="s">
        <v>120</v>
      </c>
    </row>
    <row r="8" spans="1:14" ht="13.4" customHeight="1" x14ac:dyDescent="0.35">
      <c r="A8" s="1">
        <v>7</v>
      </c>
      <c r="B8" s="1">
        <v>2023</v>
      </c>
      <c r="C8" s="1" t="s">
        <v>35</v>
      </c>
      <c r="D8" s="5">
        <f t="shared" si="0"/>
        <v>27.39</v>
      </c>
      <c r="E8" s="5">
        <v>2.19</v>
      </c>
      <c r="F8" s="5">
        <v>25.2</v>
      </c>
      <c r="G8" s="5">
        <v>7.94</v>
      </c>
      <c r="H8" s="5">
        <v>4.28</v>
      </c>
      <c r="I8" s="5">
        <v>6.43</v>
      </c>
      <c r="J8" s="5">
        <v>3.47</v>
      </c>
      <c r="K8" s="5">
        <v>5.2</v>
      </c>
      <c r="L8" s="5">
        <v>20.79</v>
      </c>
      <c r="M8" s="5">
        <v>4.01</v>
      </c>
      <c r="N8" s="1" t="s">
        <v>121</v>
      </c>
    </row>
    <row r="9" spans="1:14" ht="13.4" customHeight="1" x14ac:dyDescent="0.35">
      <c r="A9" s="1">
        <v>8</v>
      </c>
      <c r="B9" s="1">
        <v>2024</v>
      </c>
      <c r="C9" s="1" t="s">
        <v>37</v>
      </c>
      <c r="D9" s="5">
        <f t="shared" si="0"/>
        <v>57.349999999999994</v>
      </c>
      <c r="E9" s="5">
        <v>6.02</v>
      </c>
      <c r="F9" s="5">
        <v>51.33</v>
      </c>
      <c r="G9" s="5">
        <v>17.97</v>
      </c>
      <c r="H9" s="5">
        <v>10.01</v>
      </c>
      <c r="I9" s="5">
        <v>9.24</v>
      </c>
      <c r="J9" s="5">
        <v>8.61</v>
      </c>
      <c r="K9" s="5">
        <v>12.9</v>
      </c>
      <c r="L9" s="5">
        <v>36.96</v>
      </c>
      <c r="M9" s="5">
        <v>10.54</v>
      </c>
      <c r="N9" s="1" t="s">
        <v>122</v>
      </c>
    </row>
    <row r="10" spans="1:14" ht="13.4" customHeight="1" x14ac:dyDescent="0.35">
      <c r="A10" s="1">
        <v>9</v>
      </c>
      <c r="B10" s="1">
        <v>2025</v>
      </c>
      <c r="C10" s="1" t="s">
        <v>39</v>
      </c>
      <c r="D10" s="5">
        <f t="shared" si="0"/>
        <v>2.0700000000000003</v>
      </c>
      <c r="E10" s="5">
        <v>0.27</v>
      </c>
      <c r="F10" s="5">
        <v>1.8</v>
      </c>
      <c r="G10" s="5">
        <v>0.69</v>
      </c>
      <c r="H10" s="5">
        <v>0.4</v>
      </c>
      <c r="I10" s="5">
        <v>0.37</v>
      </c>
      <c r="J10" s="5">
        <v>0.15</v>
      </c>
      <c r="K10" s="5">
        <v>0.54</v>
      </c>
      <c r="L10" s="5">
        <v>1.36</v>
      </c>
      <c r="M10" s="5">
        <v>0.46</v>
      </c>
      <c r="N10" s="1" t="s">
        <v>123</v>
      </c>
    </row>
    <row r="11" spans="1:14" ht="13.4" customHeight="1" x14ac:dyDescent="0.35">
      <c r="A11" s="1">
        <v>10</v>
      </c>
      <c r="B11" s="1">
        <v>2026</v>
      </c>
      <c r="C11" s="1" t="s">
        <v>42</v>
      </c>
      <c r="D11" s="5">
        <f t="shared" si="0"/>
        <v>5.9399999999999995</v>
      </c>
      <c r="E11" s="5">
        <v>0.92</v>
      </c>
      <c r="F11" s="5">
        <v>5.0199999999999996</v>
      </c>
      <c r="G11" s="5">
        <v>2.11</v>
      </c>
      <c r="H11" s="5">
        <v>0.6</v>
      </c>
      <c r="I11" s="5">
        <v>1.1499999999999999</v>
      </c>
      <c r="J11" s="5">
        <v>0.61</v>
      </c>
      <c r="K11" s="5">
        <v>0.71</v>
      </c>
      <c r="L11" s="5">
        <v>3.97</v>
      </c>
      <c r="M11" s="5">
        <v>1.17</v>
      </c>
      <c r="N11" s="1" t="s">
        <v>124</v>
      </c>
    </row>
    <row r="12" spans="1:14" ht="13.4" customHeight="1" x14ac:dyDescent="0.35">
      <c r="A12" s="1">
        <v>11</v>
      </c>
      <c r="B12" s="1">
        <v>2022</v>
      </c>
      <c r="C12" s="1" t="s">
        <v>43</v>
      </c>
      <c r="D12" s="5">
        <f t="shared" si="0"/>
        <v>5.26</v>
      </c>
      <c r="E12" s="5">
        <v>0.95</v>
      </c>
      <c r="F12" s="5">
        <v>4.3099999999999996</v>
      </c>
      <c r="G12" s="5">
        <v>1.96</v>
      </c>
      <c r="H12" s="5">
        <v>0.62</v>
      </c>
      <c r="I12" s="5">
        <v>1.1000000000000001</v>
      </c>
      <c r="J12" s="5">
        <v>0.38</v>
      </c>
      <c r="K12" s="5">
        <v>0.82</v>
      </c>
      <c r="L12" s="5">
        <v>3.56</v>
      </c>
      <c r="M12" s="5">
        <v>1.24</v>
      </c>
      <c r="N12" s="1" t="s">
        <v>125</v>
      </c>
    </row>
    <row r="13" spans="1:14" ht="13.4" customHeight="1" x14ac:dyDescent="0.35">
      <c r="A13" s="1">
        <v>12</v>
      </c>
      <c r="B13" s="1">
        <v>2023</v>
      </c>
      <c r="C13" s="1" t="s">
        <v>45</v>
      </c>
      <c r="D13" s="5">
        <f t="shared" si="0"/>
        <v>0.81</v>
      </c>
      <c r="E13" s="5">
        <v>0.17</v>
      </c>
      <c r="F13" s="5">
        <v>0.64</v>
      </c>
      <c r="G13" s="5">
        <v>0.18</v>
      </c>
      <c r="H13" s="5">
        <v>0.11</v>
      </c>
      <c r="I13" s="5">
        <v>0.12</v>
      </c>
      <c r="J13" s="5">
        <v>0.1</v>
      </c>
      <c r="K13" s="5">
        <v>0.15</v>
      </c>
      <c r="L13" s="5">
        <v>0.46</v>
      </c>
      <c r="M13" s="5">
        <v>0.22</v>
      </c>
      <c r="N13" s="1" t="s">
        <v>126</v>
      </c>
    </row>
    <row r="14" spans="1:14" ht="13.4" customHeight="1" x14ac:dyDescent="0.35">
      <c r="A14" s="1">
        <v>13</v>
      </c>
      <c r="B14" s="1">
        <v>2024</v>
      </c>
      <c r="C14" s="1" t="s">
        <v>47</v>
      </c>
      <c r="D14" s="5">
        <f t="shared" si="0"/>
        <v>3</v>
      </c>
      <c r="E14" s="5">
        <v>0.69</v>
      </c>
      <c r="F14" s="5">
        <v>2.31</v>
      </c>
      <c r="G14" s="5">
        <v>0.73</v>
      </c>
      <c r="H14" s="5">
        <v>0.45</v>
      </c>
      <c r="I14" s="5">
        <v>0.47</v>
      </c>
      <c r="J14" s="5">
        <v>0.35</v>
      </c>
      <c r="K14" s="5">
        <v>0.68</v>
      </c>
      <c r="L14" s="5">
        <v>1.74</v>
      </c>
      <c r="M14" s="5">
        <v>0.93</v>
      </c>
      <c r="N14" s="1" t="s">
        <v>127</v>
      </c>
    </row>
    <row r="15" spans="1:14" ht="13.4" customHeight="1" x14ac:dyDescent="0.35">
      <c r="A15" s="1">
        <v>14</v>
      </c>
      <c r="B15" s="1">
        <v>2025</v>
      </c>
      <c r="C15" s="1" t="s">
        <v>49</v>
      </c>
      <c r="D15" s="5">
        <f t="shared" si="0"/>
        <v>1.2000000000000002</v>
      </c>
      <c r="E15" s="5">
        <v>0.1</v>
      </c>
      <c r="F15" s="5">
        <v>1.1000000000000001</v>
      </c>
      <c r="G15" s="5">
        <v>0.39</v>
      </c>
      <c r="H15" s="5">
        <v>0.24</v>
      </c>
      <c r="I15" s="5">
        <v>0.25</v>
      </c>
      <c r="J15" s="5">
        <v>0.13</v>
      </c>
      <c r="K15" s="5">
        <v>0.31</v>
      </c>
      <c r="L15" s="5">
        <v>0.87</v>
      </c>
      <c r="M15" s="5">
        <v>0.21</v>
      </c>
      <c r="N15" s="1" t="s">
        <v>128</v>
      </c>
    </row>
    <row r="16" spans="1:14" ht="13.4" customHeight="1" x14ac:dyDescent="0.35">
      <c r="A16" s="1">
        <v>15</v>
      </c>
      <c r="B16" s="1">
        <v>2026</v>
      </c>
      <c r="C16" s="1" t="s">
        <v>50</v>
      </c>
      <c r="D16" s="5">
        <f t="shared" si="0"/>
        <v>14.64</v>
      </c>
      <c r="E16" s="5">
        <v>1.54</v>
      </c>
      <c r="F16" s="5">
        <v>13.1</v>
      </c>
      <c r="G16" s="5">
        <v>5.04</v>
      </c>
      <c r="H16" s="5">
        <v>1.57</v>
      </c>
      <c r="I16" s="5">
        <v>3.34</v>
      </c>
      <c r="J16" s="5">
        <v>1.42</v>
      </c>
      <c r="K16" s="5">
        <v>1.76</v>
      </c>
      <c r="L16" s="5">
        <v>10.81</v>
      </c>
      <c r="M16" s="5">
        <v>2.16</v>
      </c>
      <c r="N16" s="1" t="s">
        <v>129</v>
      </c>
    </row>
    <row r="17" spans="1:14" ht="13.4" customHeight="1" x14ac:dyDescent="0.35">
      <c r="A17" s="1">
        <v>16</v>
      </c>
      <c r="B17" s="1">
        <v>2022</v>
      </c>
      <c r="C17" s="1" t="s">
        <v>52</v>
      </c>
      <c r="D17" s="5">
        <f t="shared" si="0"/>
        <v>0.52</v>
      </c>
      <c r="E17" s="5">
        <v>7.0000000000000007E-2</v>
      </c>
      <c r="F17" s="5">
        <v>0.45</v>
      </c>
      <c r="G17" s="5">
        <v>0.19</v>
      </c>
      <c r="H17" s="5">
        <v>7.0000000000000007E-2</v>
      </c>
      <c r="I17" s="5">
        <v>0.08</v>
      </c>
      <c r="J17" s="5">
        <v>0.06</v>
      </c>
      <c r="K17" s="5">
        <v>0.08</v>
      </c>
      <c r="L17" s="5">
        <v>0.32</v>
      </c>
      <c r="M17" s="5">
        <v>0.1</v>
      </c>
      <c r="N17" s="1" t="s">
        <v>120</v>
      </c>
    </row>
    <row r="18" spans="1:14" ht="13.4" customHeight="1" x14ac:dyDescent="0.35">
      <c r="A18" s="1">
        <v>17</v>
      </c>
      <c r="B18" s="1">
        <v>2023</v>
      </c>
      <c r="C18" s="1" t="s">
        <v>53</v>
      </c>
      <c r="D18" s="5">
        <f t="shared" si="0"/>
        <v>12.3</v>
      </c>
      <c r="E18" s="5">
        <v>1.91</v>
      </c>
      <c r="F18" s="5">
        <v>10.39</v>
      </c>
      <c r="G18" s="5">
        <v>4.7300000000000004</v>
      </c>
      <c r="H18" s="5">
        <v>1.77</v>
      </c>
      <c r="I18" s="5">
        <v>2.13</v>
      </c>
      <c r="J18" s="5">
        <v>1.07</v>
      </c>
      <c r="K18" s="5">
        <v>2.34</v>
      </c>
      <c r="L18" s="5">
        <v>7.84</v>
      </c>
      <c r="M18" s="5">
        <v>2.73</v>
      </c>
      <c r="N18" s="1" t="s">
        <v>125</v>
      </c>
    </row>
    <row r="19" spans="1:14" ht="13.4" customHeight="1" x14ac:dyDescent="0.35">
      <c r="A19" s="1">
        <v>18</v>
      </c>
      <c r="B19" s="1">
        <v>2024</v>
      </c>
      <c r="C19" s="1" t="s">
        <v>54</v>
      </c>
      <c r="D19" s="5">
        <f t="shared" si="0"/>
        <v>7.25</v>
      </c>
      <c r="E19" s="5">
        <v>1.3</v>
      </c>
      <c r="F19" s="5">
        <v>5.95</v>
      </c>
      <c r="G19" s="5">
        <v>1.67</v>
      </c>
      <c r="H19" s="5">
        <v>1.1599999999999999</v>
      </c>
      <c r="I19" s="5">
        <v>1.37</v>
      </c>
      <c r="J19" s="5">
        <v>0.79</v>
      </c>
      <c r="K19" s="5">
        <v>1.63</v>
      </c>
      <c r="L19" s="5">
        <v>4.7</v>
      </c>
      <c r="M19" s="5">
        <v>1.87</v>
      </c>
      <c r="N19" s="1" t="s">
        <v>130</v>
      </c>
    </row>
    <row r="20" spans="1:14" ht="13.4" customHeight="1" x14ac:dyDescent="0.35">
      <c r="A20" s="1">
        <v>19</v>
      </c>
      <c r="B20" s="1">
        <v>2025</v>
      </c>
      <c r="C20" s="1" t="s">
        <v>57</v>
      </c>
      <c r="D20" s="5">
        <f t="shared" si="0"/>
        <v>3.65</v>
      </c>
      <c r="E20" s="5">
        <v>0.75</v>
      </c>
      <c r="F20" s="5">
        <v>2.9</v>
      </c>
      <c r="G20" s="5">
        <v>0.91</v>
      </c>
      <c r="H20" s="5">
        <v>0.64</v>
      </c>
      <c r="I20" s="5">
        <v>0.74</v>
      </c>
      <c r="J20" s="5">
        <v>0.32</v>
      </c>
      <c r="K20" s="5">
        <v>0.95</v>
      </c>
      <c r="L20" s="5">
        <v>2.39</v>
      </c>
      <c r="M20" s="5">
        <v>1.08</v>
      </c>
      <c r="N20" s="1" t="s">
        <v>131</v>
      </c>
    </row>
    <row r="21" spans="1:14" ht="13.4" customHeight="1" x14ac:dyDescent="0.35">
      <c r="A21" s="1">
        <v>20</v>
      </c>
      <c r="B21" s="1">
        <v>2026</v>
      </c>
      <c r="C21" s="1" t="s">
        <v>59</v>
      </c>
      <c r="D21" s="5">
        <f t="shared" si="0"/>
        <v>3.17</v>
      </c>
      <c r="E21" s="5">
        <v>0.73</v>
      </c>
      <c r="F21" s="5">
        <v>2.44</v>
      </c>
      <c r="G21" s="5">
        <v>0.85</v>
      </c>
      <c r="H21" s="5">
        <v>0.28999999999999998</v>
      </c>
      <c r="I21" s="5">
        <v>0.44</v>
      </c>
      <c r="J21" s="5">
        <v>0.52</v>
      </c>
      <c r="K21" s="5">
        <v>0.38</v>
      </c>
      <c r="L21" s="5">
        <v>1.76</v>
      </c>
      <c r="M21" s="5">
        <v>0.86</v>
      </c>
      <c r="N21" s="1" t="s">
        <v>132</v>
      </c>
    </row>
    <row r="22" spans="1:14" ht="13.4" customHeight="1" x14ac:dyDescent="0.35">
      <c r="A22" s="1">
        <v>21</v>
      </c>
      <c r="B22" s="1">
        <v>2022</v>
      </c>
      <c r="C22" s="1" t="s">
        <v>60</v>
      </c>
      <c r="D22" s="5">
        <f t="shared" si="0"/>
        <v>5.31</v>
      </c>
      <c r="E22" s="5">
        <v>0.42</v>
      </c>
      <c r="F22" s="5">
        <v>4.8899999999999997</v>
      </c>
      <c r="G22" s="5">
        <v>1.88</v>
      </c>
      <c r="H22" s="5">
        <v>0.71</v>
      </c>
      <c r="I22" s="5">
        <v>1</v>
      </c>
      <c r="J22" s="5">
        <v>0.57999999999999996</v>
      </c>
      <c r="K22" s="5">
        <v>0.82</v>
      </c>
      <c r="L22" s="5">
        <v>3.69</v>
      </c>
      <c r="M22" s="5">
        <v>0.71</v>
      </c>
      <c r="N22" s="1" t="s">
        <v>133</v>
      </c>
    </row>
    <row r="23" spans="1:14" ht="13.4" customHeight="1" x14ac:dyDescent="0.35">
      <c r="A23" s="1">
        <v>22</v>
      </c>
      <c r="B23" s="1">
        <v>2023</v>
      </c>
      <c r="C23" s="1" t="s">
        <v>61</v>
      </c>
      <c r="D23" s="5">
        <f t="shared" si="0"/>
        <v>1.95</v>
      </c>
      <c r="E23" s="5">
        <v>0.2</v>
      </c>
      <c r="F23" s="5">
        <v>1.75</v>
      </c>
      <c r="G23" s="5">
        <v>0.74</v>
      </c>
      <c r="H23" s="5">
        <v>0.3</v>
      </c>
      <c r="I23" s="5">
        <v>0.4</v>
      </c>
      <c r="J23" s="5">
        <v>0.16</v>
      </c>
      <c r="K23" s="5">
        <v>0.37</v>
      </c>
      <c r="L23" s="5">
        <v>1.38</v>
      </c>
      <c r="M23" s="5">
        <v>0.33</v>
      </c>
      <c r="N23" s="1" t="s">
        <v>134</v>
      </c>
    </row>
    <row r="24" spans="1:14" ht="13.4" customHeight="1" x14ac:dyDescent="0.35">
      <c r="A24" s="1">
        <v>23</v>
      </c>
      <c r="B24" s="1">
        <v>2024</v>
      </c>
      <c r="C24" s="1" t="s">
        <v>62</v>
      </c>
      <c r="D24" s="5">
        <f t="shared" si="0"/>
        <v>4.13</v>
      </c>
      <c r="E24" s="5">
        <v>0.54</v>
      </c>
      <c r="F24" s="5">
        <v>3.59</v>
      </c>
      <c r="G24" s="5">
        <v>1.63</v>
      </c>
      <c r="H24" s="5">
        <v>0.7</v>
      </c>
      <c r="I24" s="5">
        <v>0.92</v>
      </c>
      <c r="J24" s="5">
        <v>0.21</v>
      </c>
      <c r="K24" s="5">
        <v>0.93</v>
      </c>
      <c r="L24" s="5">
        <v>2.96</v>
      </c>
      <c r="M24" s="5">
        <v>0.87</v>
      </c>
      <c r="N24" s="1" t="s">
        <v>135</v>
      </c>
    </row>
    <row r="25" spans="1:14" ht="13.4" customHeight="1" x14ac:dyDescent="0.35">
      <c r="A25" s="1">
        <v>24</v>
      </c>
      <c r="B25" s="1">
        <v>2025</v>
      </c>
      <c r="C25" s="1" t="s">
        <v>63</v>
      </c>
      <c r="D25" s="5">
        <f t="shared" si="0"/>
        <v>14.41</v>
      </c>
      <c r="E25" s="5">
        <v>2.23</v>
      </c>
      <c r="F25" s="5">
        <v>12.18</v>
      </c>
      <c r="G25" s="5">
        <v>3.41</v>
      </c>
      <c r="H25" s="5">
        <v>2.68</v>
      </c>
      <c r="I25" s="5">
        <v>2.19</v>
      </c>
      <c r="J25" s="5">
        <v>1.75</v>
      </c>
      <c r="K25" s="5">
        <v>3.75</v>
      </c>
      <c r="L25" s="5">
        <v>8.77</v>
      </c>
      <c r="M25" s="5">
        <v>3.54</v>
      </c>
      <c r="N25" s="1" t="s">
        <v>136</v>
      </c>
    </row>
    <row r="26" spans="1:14" ht="13.4" customHeight="1" x14ac:dyDescent="0.35">
      <c r="A26" s="1">
        <v>25</v>
      </c>
      <c r="B26" s="1">
        <v>2026</v>
      </c>
      <c r="C26" s="1" t="s">
        <v>65</v>
      </c>
      <c r="D26" s="5">
        <f>SUM(E26:F26)</f>
        <v>21.98</v>
      </c>
      <c r="E26" s="5">
        <v>3.96</v>
      </c>
      <c r="F26" s="5">
        <v>18.02</v>
      </c>
      <c r="G26" s="5">
        <v>5.68</v>
      </c>
      <c r="H26" s="5">
        <v>2.16</v>
      </c>
      <c r="I26" s="5">
        <v>3.69</v>
      </c>
      <c r="J26" s="5">
        <v>3.44</v>
      </c>
      <c r="K26" s="5">
        <v>2.64</v>
      </c>
      <c r="L26" s="5">
        <v>13.61</v>
      </c>
      <c r="M26" s="5">
        <v>4.88</v>
      </c>
      <c r="N26" s="1" t="s">
        <v>137</v>
      </c>
    </row>
    <row r="27" spans="1:14" ht="13.4" customHeight="1" x14ac:dyDescent="0.35">
      <c r="A27" s="1">
        <v>26</v>
      </c>
      <c r="B27" s="1">
        <v>2022</v>
      </c>
      <c r="C27" s="1" t="s">
        <v>68</v>
      </c>
      <c r="D27" s="5">
        <f t="shared" si="0"/>
        <v>29.759999999999998</v>
      </c>
      <c r="E27" s="5">
        <v>6.1</v>
      </c>
      <c r="F27" s="5">
        <v>23.66</v>
      </c>
      <c r="G27" s="5">
        <v>8.2799999999999994</v>
      </c>
      <c r="H27" s="5">
        <v>3.43</v>
      </c>
      <c r="I27" s="5">
        <v>5.44</v>
      </c>
      <c r="J27" s="5">
        <v>3.97</v>
      </c>
      <c r="K27" s="5">
        <v>4.6100000000000003</v>
      </c>
      <c r="L27" s="5">
        <v>18.690000000000001</v>
      </c>
      <c r="M27" s="5">
        <v>7.71</v>
      </c>
      <c r="N27" s="1" t="s">
        <v>138</v>
      </c>
    </row>
    <row r="28" spans="1:14" ht="13.4" customHeight="1" x14ac:dyDescent="0.35">
      <c r="A28" s="1">
        <v>27</v>
      </c>
      <c r="B28" s="1">
        <v>2023</v>
      </c>
      <c r="C28" s="1" t="s">
        <v>71</v>
      </c>
      <c r="D28" s="5">
        <f t="shared" si="0"/>
        <v>12.850000000000001</v>
      </c>
      <c r="E28" s="5">
        <v>2.96</v>
      </c>
      <c r="F28" s="5">
        <v>9.89</v>
      </c>
      <c r="G28" s="5">
        <v>3.81</v>
      </c>
      <c r="H28" s="5">
        <v>1.68</v>
      </c>
      <c r="I28" s="5">
        <v>2.52</v>
      </c>
      <c r="J28" s="5">
        <v>0.85</v>
      </c>
      <c r="K28" s="5">
        <v>2.44</v>
      </c>
      <c r="L28" s="5">
        <v>8.16</v>
      </c>
      <c r="M28" s="5">
        <v>3.81</v>
      </c>
      <c r="N28" s="1" t="s">
        <v>120</v>
      </c>
    </row>
    <row r="29" spans="1:14" ht="13.4" customHeight="1" x14ac:dyDescent="0.35">
      <c r="A29" s="1">
        <v>28</v>
      </c>
      <c r="B29" s="1">
        <v>2024</v>
      </c>
      <c r="C29" s="1" t="s">
        <v>72</v>
      </c>
      <c r="D29" s="5">
        <f t="shared" si="0"/>
        <v>19.29</v>
      </c>
      <c r="E29" s="5">
        <v>1.54</v>
      </c>
      <c r="F29" s="5">
        <v>17.75</v>
      </c>
      <c r="G29" s="5">
        <v>7.46</v>
      </c>
      <c r="H29" s="5">
        <v>3.46</v>
      </c>
      <c r="I29" s="5">
        <v>3.19</v>
      </c>
      <c r="J29" s="5">
        <v>1.93</v>
      </c>
      <c r="K29" s="5">
        <v>4.34</v>
      </c>
      <c r="L29" s="5">
        <v>12.78</v>
      </c>
      <c r="M29" s="5">
        <v>3.06</v>
      </c>
      <c r="N29" s="1" t="s">
        <v>139</v>
      </c>
    </row>
    <row r="30" spans="1:14" ht="13.4" customHeight="1" x14ac:dyDescent="0.35">
      <c r="A30" s="1">
        <v>29</v>
      </c>
      <c r="B30" s="1">
        <v>2025</v>
      </c>
      <c r="C30" s="1" t="s">
        <v>73</v>
      </c>
      <c r="D30" s="5">
        <f t="shared" si="0"/>
        <v>22.12</v>
      </c>
      <c r="E30" s="5">
        <v>2.3199999999999998</v>
      </c>
      <c r="F30" s="5">
        <v>19.8</v>
      </c>
      <c r="G30" s="5">
        <v>9.01</v>
      </c>
      <c r="H30" s="5">
        <v>4.3600000000000003</v>
      </c>
      <c r="I30" s="5">
        <v>4.0599999999999996</v>
      </c>
      <c r="J30" s="5">
        <v>1.45</v>
      </c>
      <c r="K30" s="5">
        <v>5.75</v>
      </c>
      <c r="L30" s="5">
        <v>14.95</v>
      </c>
      <c r="M30" s="5">
        <v>4.33</v>
      </c>
      <c r="N30" s="1" t="s">
        <v>140</v>
      </c>
    </row>
    <row r="31" spans="1:14" ht="13.4" customHeight="1" x14ac:dyDescent="0.35">
      <c r="A31" s="1">
        <v>30</v>
      </c>
      <c r="B31" s="1">
        <v>2026</v>
      </c>
      <c r="C31" s="1" t="s">
        <v>74</v>
      </c>
      <c r="D31" s="5">
        <f t="shared" si="0"/>
        <v>61.980000000000004</v>
      </c>
      <c r="E31" s="5">
        <v>8.06</v>
      </c>
      <c r="F31" s="5">
        <v>53.92</v>
      </c>
      <c r="G31" s="5">
        <v>15.1</v>
      </c>
      <c r="H31" s="5">
        <v>6.47</v>
      </c>
      <c r="I31" s="5">
        <v>12.4</v>
      </c>
      <c r="J31" s="5">
        <v>8.98</v>
      </c>
      <c r="K31" s="5">
        <v>7.44</v>
      </c>
      <c r="L31" s="5">
        <v>42.6</v>
      </c>
      <c r="M31" s="5">
        <v>10.66</v>
      </c>
      <c r="N31" s="1" t="s">
        <v>141</v>
      </c>
    </row>
    <row r="32" spans="1:14" ht="13.4" customHeight="1" x14ac:dyDescent="0.35">
      <c r="A32" s="1">
        <v>31</v>
      </c>
      <c r="B32" s="1">
        <v>2022</v>
      </c>
      <c r="C32" s="1" t="s">
        <v>75</v>
      </c>
      <c r="D32" s="5">
        <f t="shared" si="0"/>
        <v>11.879999999999999</v>
      </c>
      <c r="E32" s="5">
        <v>1.84</v>
      </c>
      <c r="F32" s="5">
        <v>10.039999999999999</v>
      </c>
      <c r="G32" s="5">
        <v>3.16</v>
      </c>
      <c r="H32" s="5">
        <v>1.46</v>
      </c>
      <c r="I32" s="5">
        <v>2.56</v>
      </c>
      <c r="J32" s="5">
        <v>1.52</v>
      </c>
      <c r="K32" s="5">
        <v>1.84</v>
      </c>
      <c r="L32" s="5">
        <v>8.2799999999999994</v>
      </c>
      <c r="M32" s="5">
        <v>2.48</v>
      </c>
      <c r="N32" s="1" t="s">
        <v>142</v>
      </c>
    </row>
    <row r="33" spans="1:14" ht="13.4" customHeight="1" x14ac:dyDescent="0.35">
      <c r="A33" s="1">
        <v>32</v>
      </c>
      <c r="B33" s="1">
        <v>2023</v>
      </c>
      <c r="C33" s="1" t="s">
        <v>77</v>
      </c>
      <c r="D33" s="5">
        <f t="shared" si="0"/>
        <v>14.04</v>
      </c>
      <c r="E33" s="5">
        <v>2.5299999999999998</v>
      </c>
      <c r="F33" s="5">
        <v>11.51</v>
      </c>
      <c r="G33" s="5">
        <v>4.03</v>
      </c>
      <c r="H33" s="5">
        <v>1.96</v>
      </c>
      <c r="I33" s="5">
        <v>2.0699999999999998</v>
      </c>
      <c r="J33" s="5">
        <v>2.1</v>
      </c>
      <c r="K33" s="5">
        <v>2.67</v>
      </c>
      <c r="L33" s="5">
        <v>8.2899999999999991</v>
      </c>
      <c r="M33" s="5">
        <v>3.46</v>
      </c>
      <c r="N33" s="1" t="s">
        <v>143</v>
      </c>
    </row>
    <row r="34" spans="1:14" ht="13.4" customHeight="1" x14ac:dyDescent="0.35">
      <c r="A34" s="1">
        <v>33</v>
      </c>
      <c r="B34" s="1">
        <v>2024</v>
      </c>
      <c r="C34" s="1" t="s">
        <v>79</v>
      </c>
      <c r="D34" s="5">
        <f t="shared" si="0"/>
        <v>30.54</v>
      </c>
      <c r="E34" s="5">
        <v>6.26</v>
      </c>
      <c r="F34" s="5">
        <v>24.28</v>
      </c>
      <c r="G34" s="5">
        <v>9.35</v>
      </c>
      <c r="H34" s="5">
        <v>4.7300000000000004</v>
      </c>
      <c r="I34" s="5">
        <v>4.9800000000000004</v>
      </c>
      <c r="J34" s="5">
        <v>2.35</v>
      </c>
      <c r="K34" s="5">
        <v>6.87</v>
      </c>
      <c r="L34" s="5">
        <v>18.329999999999998</v>
      </c>
      <c r="M34" s="5">
        <v>8.66</v>
      </c>
      <c r="N34" s="1" t="s">
        <v>144</v>
      </c>
    </row>
    <row r="35" spans="1:14" ht="13.4" customHeight="1" x14ac:dyDescent="0.35">
      <c r="A35" s="1">
        <v>34</v>
      </c>
      <c r="B35" s="1">
        <v>2025</v>
      </c>
      <c r="C35" s="1" t="s">
        <v>81</v>
      </c>
      <c r="D35" s="5">
        <f t="shared" si="0"/>
        <v>7.61</v>
      </c>
      <c r="E35" s="5">
        <v>1.75</v>
      </c>
      <c r="F35" s="5">
        <v>5.86</v>
      </c>
      <c r="G35" s="5">
        <v>2.46</v>
      </c>
      <c r="H35" s="5">
        <v>1.29</v>
      </c>
      <c r="I35" s="5">
        <v>1.35</v>
      </c>
      <c r="J35" s="5">
        <v>0.4</v>
      </c>
      <c r="K35" s="5">
        <v>1.98</v>
      </c>
      <c r="L35" s="5">
        <v>4.63</v>
      </c>
      <c r="M35" s="5">
        <v>2.44</v>
      </c>
      <c r="N35" s="1" t="s">
        <v>145</v>
      </c>
    </row>
    <row r="36" spans="1:14" ht="13.4" customHeight="1" x14ac:dyDescent="0.35">
      <c r="A36" s="1">
        <v>35</v>
      </c>
      <c r="B36" s="1">
        <v>2026</v>
      </c>
      <c r="C36" s="1" t="s">
        <v>83</v>
      </c>
      <c r="D36" s="5">
        <f t="shared" si="0"/>
        <v>53.46</v>
      </c>
      <c r="E36" s="5">
        <v>4.28</v>
      </c>
      <c r="F36" s="5">
        <v>49.18</v>
      </c>
      <c r="G36" s="5">
        <v>22.38</v>
      </c>
      <c r="H36" s="5">
        <v>5.9</v>
      </c>
      <c r="I36" s="5">
        <v>12.54</v>
      </c>
      <c r="J36" s="5">
        <v>5.0999999999999996</v>
      </c>
      <c r="K36" s="5">
        <v>6.42</v>
      </c>
      <c r="L36" s="5">
        <v>40.57</v>
      </c>
      <c r="M36" s="5">
        <v>6.53</v>
      </c>
      <c r="N36" s="1" t="s">
        <v>146</v>
      </c>
    </row>
    <row r="37" spans="1:14" ht="13.4" customHeight="1" x14ac:dyDescent="0.35">
      <c r="A37" s="1">
        <v>36</v>
      </c>
      <c r="B37" s="1">
        <v>2022</v>
      </c>
      <c r="C37" s="1" t="s">
        <v>85</v>
      </c>
      <c r="D37" s="5">
        <f t="shared" si="0"/>
        <v>2.2699999999999996</v>
      </c>
      <c r="E37" s="5">
        <v>0.24</v>
      </c>
      <c r="F37" s="5">
        <v>2.0299999999999998</v>
      </c>
      <c r="G37" s="5">
        <v>0.56999999999999995</v>
      </c>
      <c r="H37" s="5">
        <v>0.28999999999999998</v>
      </c>
      <c r="I37" s="5">
        <v>0.37</v>
      </c>
      <c r="J37" s="5">
        <v>0.36</v>
      </c>
      <c r="K37" s="5">
        <v>0.35</v>
      </c>
      <c r="L37" s="5">
        <v>1.46</v>
      </c>
      <c r="M37" s="5">
        <v>0.36</v>
      </c>
      <c r="N37" s="1" t="s">
        <v>147</v>
      </c>
    </row>
    <row r="38" spans="1:14" ht="13.4" customHeight="1" x14ac:dyDescent="0.35">
      <c r="A38" s="1">
        <v>37</v>
      </c>
      <c r="B38" s="1">
        <v>2023</v>
      </c>
      <c r="C38" s="1" t="s">
        <v>87</v>
      </c>
      <c r="D38" s="5">
        <f t="shared" si="0"/>
        <v>8.5299999999999994</v>
      </c>
      <c r="E38" s="5">
        <v>1.1100000000000001</v>
      </c>
      <c r="F38" s="5">
        <v>7.42</v>
      </c>
      <c r="G38" s="5">
        <v>2.34</v>
      </c>
      <c r="H38" s="5">
        <v>1.26</v>
      </c>
      <c r="I38" s="5">
        <v>1.52</v>
      </c>
      <c r="J38" s="5">
        <v>1.22</v>
      </c>
      <c r="K38" s="5">
        <v>1.62</v>
      </c>
      <c r="L38" s="5">
        <v>5.6</v>
      </c>
      <c r="M38" s="5">
        <v>1.68</v>
      </c>
      <c r="N38" s="1" t="s">
        <v>148</v>
      </c>
    </row>
    <row r="39" spans="1:14" ht="13.4" customHeight="1" x14ac:dyDescent="0.35">
      <c r="A39" s="1">
        <v>38</v>
      </c>
      <c r="B39" s="1">
        <v>2024</v>
      </c>
      <c r="C39" s="1" t="s">
        <v>89</v>
      </c>
      <c r="D39" s="5">
        <f t="shared" si="0"/>
        <v>12.48</v>
      </c>
      <c r="E39" s="5">
        <v>1.93</v>
      </c>
      <c r="F39" s="5">
        <v>10.55</v>
      </c>
      <c r="G39" s="5">
        <v>3.69</v>
      </c>
      <c r="H39" s="5">
        <v>2.06</v>
      </c>
      <c r="I39" s="5">
        <v>2.4300000000000002</v>
      </c>
      <c r="J39" s="5">
        <v>1.45</v>
      </c>
      <c r="K39" s="5">
        <v>2.81</v>
      </c>
      <c r="L39" s="5">
        <v>8.33</v>
      </c>
      <c r="M39" s="5">
        <v>2.91</v>
      </c>
      <c r="N39" s="1" t="s">
        <v>123</v>
      </c>
    </row>
    <row r="40" spans="1:14" ht="13.4" customHeight="1" x14ac:dyDescent="0.35">
      <c r="A40" s="1">
        <v>39</v>
      </c>
      <c r="B40" s="1">
        <v>2025</v>
      </c>
      <c r="C40" s="1" t="s">
        <v>90</v>
      </c>
      <c r="D40" s="5">
        <f t="shared" si="0"/>
        <v>24.66</v>
      </c>
      <c r="E40" s="5">
        <v>4.4400000000000004</v>
      </c>
      <c r="F40" s="5">
        <v>20.22</v>
      </c>
      <c r="G40" s="5">
        <v>7.78</v>
      </c>
      <c r="H40" s="5">
        <v>4.45</v>
      </c>
      <c r="I40" s="5">
        <v>5.16</v>
      </c>
      <c r="J40" s="5">
        <v>1.27</v>
      </c>
      <c r="K40" s="5">
        <v>6.41</v>
      </c>
      <c r="L40" s="5">
        <v>16.68</v>
      </c>
      <c r="M40" s="5">
        <v>6.68</v>
      </c>
      <c r="N40" s="1" t="s">
        <v>149</v>
      </c>
    </row>
    <row r="41" spans="1:14" ht="13.4" customHeight="1" x14ac:dyDescent="0.35">
      <c r="A41" s="1">
        <v>40</v>
      </c>
      <c r="B41" s="1">
        <v>2026</v>
      </c>
      <c r="C41" s="1" t="s">
        <v>91</v>
      </c>
      <c r="D41" s="5">
        <f t="shared" si="0"/>
        <v>7.66</v>
      </c>
      <c r="E41" s="5">
        <v>1.57</v>
      </c>
      <c r="F41" s="5">
        <v>6.09</v>
      </c>
      <c r="G41" s="5">
        <v>2.56</v>
      </c>
      <c r="H41" s="5">
        <v>0.73</v>
      </c>
      <c r="I41" s="5">
        <v>1.1000000000000001</v>
      </c>
      <c r="J41" s="5">
        <v>0.9</v>
      </c>
      <c r="K41" s="5">
        <v>0.92</v>
      </c>
      <c r="L41" s="5">
        <v>4.38</v>
      </c>
      <c r="M41" s="5">
        <v>1.89</v>
      </c>
      <c r="N41" s="1" t="s">
        <v>150</v>
      </c>
    </row>
    <row r="42" spans="1:14" ht="13.4" customHeight="1" x14ac:dyDescent="0.35">
      <c r="A42" s="1">
        <v>41</v>
      </c>
      <c r="B42" s="1">
        <v>2022</v>
      </c>
      <c r="C42" s="1" t="s">
        <v>92</v>
      </c>
      <c r="D42" s="5">
        <f t="shared" si="0"/>
        <v>19.490000000000002</v>
      </c>
      <c r="E42" s="5">
        <v>4.4800000000000004</v>
      </c>
      <c r="F42" s="5">
        <v>15.01</v>
      </c>
      <c r="G42" s="5">
        <v>6.83</v>
      </c>
      <c r="H42" s="5">
        <v>2.1800000000000002</v>
      </c>
      <c r="I42" s="5">
        <v>3.08</v>
      </c>
      <c r="J42" s="5">
        <v>1.78</v>
      </c>
      <c r="K42" s="5">
        <v>3.02</v>
      </c>
      <c r="L42" s="5">
        <v>11.33</v>
      </c>
      <c r="M42" s="5">
        <v>5.54</v>
      </c>
      <c r="N42" s="1" t="s">
        <v>151</v>
      </c>
    </row>
    <row r="43" spans="1:14" ht="13.4" customHeight="1" x14ac:dyDescent="0.35">
      <c r="A43" s="1">
        <v>42</v>
      </c>
      <c r="B43" s="1">
        <v>2023</v>
      </c>
      <c r="C43" s="1" t="s">
        <v>93</v>
      </c>
      <c r="D43" s="5">
        <f t="shared" si="0"/>
        <v>10.639999999999999</v>
      </c>
      <c r="E43" s="5">
        <v>0.85</v>
      </c>
      <c r="F43" s="5">
        <v>9.7899999999999991</v>
      </c>
      <c r="G43" s="5">
        <v>2.74</v>
      </c>
      <c r="H43" s="5">
        <v>1.66</v>
      </c>
      <c r="I43" s="5">
        <v>2.25</v>
      </c>
      <c r="J43" s="5">
        <v>1.41</v>
      </c>
      <c r="K43" s="5">
        <v>2.02</v>
      </c>
      <c r="L43" s="5">
        <v>7.73</v>
      </c>
      <c r="M43" s="5">
        <v>1.56</v>
      </c>
      <c r="N43" s="1" t="s">
        <v>152</v>
      </c>
    </row>
    <row r="44" spans="1:14" ht="13.4" customHeight="1" x14ac:dyDescent="0.35">
      <c r="A44" s="1">
        <v>43</v>
      </c>
      <c r="B44" s="1">
        <v>2024</v>
      </c>
      <c r="C44" s="1" t="s">
        <v>95</v>
      </c>
      <c r="D44" s="5">
        <f t="shared" si="0"/>
        <v>24.8</v>
      </c>
      <c r="E44" s="5">
        <v>2.6</v>
      </c>
      <c r="F44" s="5">
        <v>22.2</v>
      </c>
      <c r="G44" s="5">
        <v>6.99</v>
      </c>
      <c r="H44" s="5">
        <v>4.33</v>
      </c>
      <c r="I44" s="5">
        <v>5.66</v>
      </c>
      <c r="J44" s="5">
        <v>2.77</v>
      </c>
      <c r="K44" s="5">
        <v>5.58</v>
      </c>
      <c r="L44" s="5">
        <v>18.309999999999999</v>
      </c>
      <c r="M44" s="5">
        <v>4.55</v>
      </c>
      <c r="N44" s="1" t="s">
        <v>153</v>
      </c>
    </row>
    <row r="45" spans="1:14" ht="13.4" customHeight="1" x14ac:dyDescent="0.35">
      <c r="A45" s="1">
        <v>44</v>
      </c>
      <c r="B45" s="1">
        <v>2025</v>
      </c>
      <c r="C45" s="1" t="s">
        <v>97</v>
      </c>
      <c r="D45" s="5">
        <f t="shared" si="0"/>
        <v>8.59</v>
      </c>
      <c r="E45" s="5">
        <v>1.1200000000000001</v>
      </c>
      <c r="F45" s="5">
        <v>7.47</v>
      </c>
      <c r="G45" s="5">
        <v>2.61</v>
      </c>
      <c r="H45" s="5">
        <v>1.64</v>
      </c>
      <c r="I45" s="5">
        <v>1.34</v>
      </c>
      <c r="J45" s="5">
        <v>1.1499999999999999</v>
      </c>
      <c r="K45" s="5">
        <v>2.23</v>
      </c>
      <c r="L45" s="5">
        <v>5.38</v>
      </c>
      <c r="M45" s="5">
        <v>1.9</v>
      </c>
      <c r="N45" s="1" t="s">
        <v>128</v>
      </c>
    </row>
    <row r="46" spans="1:14" ht="13.4" customHeight="1" x14ac:dyDescent="0.35">
      <c r="A46" s="1">
        <v>45</v>
      </c>
      <c r="B46" s="1">
        <v>2026</v>
      </c>
      <c r="C46" s="1" t="s">
        <v>98</v>
      </c>
      <c r="D46" s="5">
        <f t="shared" si="0"/>
        <v>11.84</v>
      </c>
      <c r="E46" s="5">
        <v>1.84</v>
      </c>
      <c r="F46" s="5">
        <v>10</v>
      </c>
      <c r="G46" s="5">
        <v>3.85</v>
      </c>
      <c r="H46" s="5">
        <v>1.2</v>
      </c>
      <c r="I46" s="5">
        <v>2.0499999999999998</v>
      </c>
      <c r="J46" s="5">
        <v>1.31</v>
      </c>
      <c r="K46" s="5">
        <v>1.42</v>
      </c>
      <c r="L46" s="5">
        <v>7.55</v>
      </c>
      <c r="M46" s="5">
        <v>2.34</v>
      </c>
      <c r="N46" s="1" t="s">
        <v>154</v>
      </c>
    </row>
    <row r="47" spans="1:14" ht="13.4" customHeight="1" x14ac:dyDescent="0.35">
      <c r="A47" s="1">
        <v>46</v>
      </c>
      <c r="B47" s="1">
        <v>2022</v>
      </c>
      <c r="C47" s="1" t="s">
        <v>99</v>
      </c>
      <c r="D47" s="5">
        <f t="shared" si="0"/>
        <v>19.5</v>
      </c>
      <c r="E47" s="5">
        <v>3.51</v>
      </c>
      <c r="F47" s="5">
        <v>15.99</v>
      </c>
      <c r="G47" s="5">
        <v>6.72</v>
      </c>
      <c r="H47" s="5">
        <v>2.3199999999999998</v>
      </c>
      <c r="I47" s="5">
        <v>3.68</v>
      </c>
      <c r="J47" s="5">
        <v>1.73</v>
      </c>
      <c r="K47" s="5">
        <v>3.02</v>
      </c>
      <c r="L47" s="5">
        <v>12.63</v>
      </c>
      <c r="M47" s="5">
        <v>4.57</v>
      </c>
      <c r="N47" s="1" t="s">
        <v>155</v>
      </c>
    </row>
    <row r="48" spans="1:14" ht="13.4" customHeight="1" x14ac:dyDescent="0.35">
      <c r="A48" s="1">
        <v>47</v>
      </c>
      <c r="B48" s="1">
        <v>2023</v>
      </c>
      <c r="C48" s="1" t="s">
        <v>101</v>
      </c>
      <c r="D48" s="5">
        <f t="shared" si="0"/>
        <v>24.540000000000003</v>
      </c>
      <c r="E48" s="5">
        <v>5.03</v>
      </c>
      <c r="F48" s="5">
        <v>19.510000000000002</v>
      </c>
      <c r="G48" s="5">
        <v>8.8800000000000008</v>
      </c>
      <c r="H48" s="5">
        <v>3.32</v>
      </c>
      <c r="I48" s="5">
        <v>4.9800000000000004</v>
      </c>
      <c r="J48" s="5">
        <v>1.42</v>
      </c>
      <c r="K48" s="5">
        <v>4.66</v>
      </c>
      <c r="L48" s="5">
        <v>16.100000000000001</v>
      </c>
      <c r="M48" s="5">
        <v>6.66</v>
      </c>
      <c r="N48" s="1" t="s">
        <v>156</v>
      </c>
    </row>
    <row r="49" spans="1:14" ht="13.4" customHeight="1" x14ac:dyDescent="0.35">
      <c r="A49" s="1">
        <v>48</v>
      </c>
      <c r="B49" s="1">
        <v>2024</v>
      </c>
      <c r="C49" s="1" t="s">
        <v>103</v>
      </c>
      <c r="D49" s="5">
        <f t="shared" si="0"/>
        <v>35.53</v>
      </c>
      <c r="E49" s="5">
        <v>8.17</v>
      </c>
      <c r="F49" s="5">
        <v>27.36</v>
      </c>
      <c r="G49" s="5">
        <v>7.66</v>
      </c>
      <c r="H49" s="5">
        <v>5.34</v>
      </c>
      <c r="I49" s="5">
        <v>4.92</v>
      </c>
      <c r="J49" s="5">
        <v>4.25</v>
      </c>
      <c r="K49" s="5">
        <v>7.99</v>
      </c>
      <c r="L49" s="5">
        <v>19.7</v>
      </c>
      <c r="M49" s="5">
        <v>10.97</v>
      </c>
      <c r="N49" s="1" t="s">
        <v>157</v>
      </c>
    </row>
    <row r="50" spans="1:14" ht="13.4" customHeight="1" x14ac:dyDescent="0.35">
      <c r="A50" s="1">
        <v>49</v>
      </c>
      <c r="B50" s="1">
        <v>2025</v>
      </c>
      <c r="C50" s="1" t="s">
        <v>104</v>
      </c>
      <c r="D50" s="5">
        <f t="shared" si="0"/>
        <v>10.35</v>
      </c>
      <c r="E50" s="5">
        <v>0.83</v>
      </c>
      <c r="F50" s="5">
        <v>9.52</v>
      </c>
      <c r="G50" s="5">
        <v>3</v>
      </c>
      <c r="H50" s="5">
        <v>2.09</v>
      </c>
      <c r="I50" s="5">
        <v>1.95</v>
      </c>
      <c r="J50" s="5">
        <v>1.31</v>
      </c>
      <c r="K50" s="5">
        <v>2.69</v>
      </c>
      <c r="L50" s="5">
        <v>7.19</v>
      </c>
      <c r="M50" s="5">
        <v>1.77</v>
      </c>
      <c r="N50" s="1" t="s">
        <v>158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26" workbookViewId="0">
      <selection activeCell="A2" sqref="A2:G50"/>
    </sheetView>
  </sheetViews>
  <sheetFormatPr defaultRowHeight="14.5" x14ac:dyDescent="0.35"/>
  <cols>
    <col min="1" max="2" width="8" customWidth="1"/>
    <col min="3" max="3" width="22" customWidth="1"/>
    <col min="4" max="4" width="18" customWidth="1"/>
    <col min="5" max="5" width="24" customWidth="1"/>
    <col min="6" max="6" width="26" customWidth="1"/>
    <col min="7" max="7" width="12" customWidth="1"/>
  </cols>
  <sheetData>
    <row r="1" spans="1:7" ht="22.65" customHeight="1" x14ac:dyDescent="0.35">
      <c r="A1" s="3" t="s">
        <v>0</v>
      </c>
      <c r="B1" s="3" t="s">
        <v>1</v>
      </c>
      <c r="C1" s="3" t="s">
        <v>2</v>
      </c>
      <c r="D1" s="3" t="s">
        <v>159</v>
      </c>
      <c r="E1" s="3" t="s">
        <v>160</v>
      </c>
      <c r="F1" s="3" t="s">
        <v>161</v>
      </c>
      <c r="G1" s="3" t="s">
        <v>162</v>
      </c>
    </row>
    <row r="2" spans="1:7" ht="13.4" customHeight="1" x14ac:dyDescent="0.35">
      <c r="A2" s="1">
        <v>1</v>
      </c>
      <c r="B2" s="1">
        <v>2022</v>
      </c>
      <c r="C2" s="1" t="s">
        <v>13</v>
      </c>
      <c r="D2" s="1" t="s">
        <v>163</v>
      </c>
      <c r="E2" s="1" t="s">
        <v>164</v>
      </c>
      <c r="F2" s="1" t="s">
        <v>165</v>
      </c>
      <c r="G2" s="1">
        <v>5</v>
      </c>
    </row>
    <row r="3" spans="1:7" ht="13.4" customHeight="1" x14ac:dyDescent="0.35">
      <c r="A3" s="1">
        <v>2</v>
      </c>
      <c r="B3" s="1">
        <v>2023</v>
      </c>
      <c r="C3" s="1" t="s">
        <v>18</v>
      </c>
      <c r="D3" s="1" t="s">
        <v>163</v>
      </c>
      <c r="E3" s="1" t="s">
        <v>164</v>
      </c>
      <c r="F3" s="1" t="s">
        <v>166</v>
      </c>
      <c r="G3" s="1">
        <v>12</v>
      </c>
    </row>
    <row r="4" spans="1:7" ht="13.4" customHeight="1" x14ac:dyDescent="0.35">
      <c r="A4" s="1">
        <v>3</v>
      </c>
      <c r="B4" s="1">
        <v>2024</v>
      </c>
      <c r="C4" s="1" t="s">
        <v>22</v>
      </c>
      <c r="D4" s="1" t="s">
        <v>167</v>
      </c>
      <c r="E4" s="1" t="s">
        <v>168</v>
      </c>
      <c r="F4" s="1" t="s">
        <v>169</v>
      </c>
      <c r="G4" s="1">
        <v>3</v>
      </c>
    </row>
    <row r="5" spans="1:7" ht="13.4" customHeight="1" x14ac:dyDescent="0.35">
      <c r="A5" s="1">
        <v>4</v>
      </c>
      <c r="B5" s="1">
        <v>2025</v>
      </c>
      <c r="C5" s="1" t="s">
        <v>27</v>
      </c>
      <c r="D5" s="1" t="s">
        <v>167</v>
      </c>
      <c r="E5" s="1" t="s">
        <v>168</v>
      </c>
      <c r="F5" s="1" t="s">
        <v>170</v>
      </c>
      <c r="G5" s="1">
        <v>4</v>
      </c>
    </row>
    <row r="6" spans="1:7" ht="13.4" customHeight="1" x14ac:dyDescent="0.35">
      <c r="A6" s="1">
        <v>5</v>
      </c>
      <c r="B6" s="1">
        <v>2026</v>
      </c>
      <c r="C6" s="1" t="s">
        <v>29</v>
      </c>
      <c r="D6" s="1" t="s">
        <v>167</v>
      </c>
      <c r="E6" s="1" t="s">
        <v>171</v>
      </c>
      <c r="F6" s="1" t="s">
        <v>172</v>
      </c>
      <c r="G6" s="1">
        <v>24</v>
      </c>
    </row>
    <row r="7" spans="1:7" ht="13.4" customHeight="1" x14ac:dyDescent="0.35">
      <c r="A7" s="1">
        <v>6</v>
      </c>
      <c r="B7" s="1">
        <v>2022</v>
      </c>
      <c r="C7" s="1" t="s">
        <v>32</v>
      </c>
      <c r="D7" s="1" t="s">
        <v>163</v>
      </c>
      <c r="E7" s="1" t="s">
        <v>173</v>
      </c>
      <c r="F7" s="1" t="s">
        <v>174</v>
      </c>
      <c r="G7" s="1">
        <v>7</v>
      </c>
    </row>
    <row r="8" spans="1:7" ht="13.4" customHeight="1" x14ac:dyDescent="0.35">
      <c r="A8" s="1">
        <v>7</v>
      </c>
      <c r="B8" s="1">
        <v>2023</v>
      </c>
      <c r="C8" s="1" t="s">
        <v>35</v>
      </c>
      <c r="D8" s="1" t="s">
        <v>175</v>
      </c>
      <c r="E8" s="1" t="s">
        <v>176</v>
      </c>
      <c r="F8" s="1" t="s">
        <v>177</v>
      </c>
      <c r="G8" s="1">
        <v>11</v>
      </c>
    </row>
    <row r="9" spans="1:7" ht="13.4" customHeight="1" x14ac:dyDescent="0.35">
      <c r="A9" s="1">
        <v>8</v>
      </c>
      <c r="B9" s="1">
        <v>2024</v>
      </c>
      <c r="C9" s="1" t="s">
        <v>37</v>
      </c>
      <c r="D9" s="1" t="s">
        <v>167</v>
      </c>
      <c r="E9" s="1" t="s">
        <v>178</v>
      </c>
      <c r="F9" s="1" t="s">
        <v>179</v>
      </c>
      <c r="G9" s="1">
        <v>5</v>
      </c>
    </row>
    <row r="10" spans="1:7" ht="13.4" customHeight="1" x14ac:dyDescent="0.35">
      <c r="A10" s="1">
        <v>9</v>
      </c>
      <c r="B10" s="1">
        <v>2025</v>
      </c>
      <c r="C10" s="1" t="s">
        <v>39</v>
      </c>
      <c r="D10" s="1" t="s">
        <v>163</v>
      </c>
      <c r="E10" s="1" t="s">
        <v>180</v>
      </c>
      <c r="F10" s="1" t="s">
        <v>181</v>
      </c>
      <c r="G10" s="1">
        <v>3</v>
      </c>
    </row>
    <row r="11" spans="1:7" ht="13.4" customHeight="1" x14ac:dyDescent="0.35">
      <c r="A11" s="1">
        <v>10</v>
      </c>
      <c r="B11" s="1">
        <v>2026</v>
      </c>
      <c r="C11" s="1" t="s">
        <v>42</v>
      </c>
      <c r="D11" s="1" t="s">
        <v>167</v>
      </c>
      <c r="E11" s="1" t="s">
        <v>182</v>
      </c>
      <c r="F11" s="1" t="s">
        <v>183</v>
      </c>
      <c r="G11" s="1">
        <v>7</v>
      </c>
    </row>
    <row r="12" spans="1:7" ht="13.4" customHeight="1" x14ac:dyDescent="0.35">
      <c r="A12" s="1">
        <v>11</v>
      </c>
      <c r="B12" s="1">
        <v>2022</v>
      </c>
      <c r="C12" s="1" t="s">
        <v>43</v>
      </c>
      <c r="D12" s="1" t="s">
        <v>163</v>
      </c>
      <c r="E12" s="1" t="s">
        <v>184</v>
      </c>
      <c r="F12" s="1" t="s">
        <v>185</v>
      </c>
      <c r="G12" s="1">
        <v>5</v>
      </c>
    </row>
    <row r="13" spans="1:7" ht="13.4" customHeight="1" x14ac:dyDescent="0.35">
      <c r="A13" s="1">
        <v>12</v>
      </c>
      <c r="B13" s="1">
        <v>2023</v>
      </c>
      <c r="C13" s="1" t="s">
        <v>45</v>
      </c>
      <c r="D13" s="1" t="s">
        <v>167</v>
      </c>
      <c r="E13" s="1" t="s">
        <v>186</v>
      </c>
      <c r="F13" s="1" t="s">
        <v>187</v>
      </c>
      <c r="G13" s="1">
        <v>5</v>
      </c>
    </row>
    <row r="14" spans="1:7" ht="13.4" customHeight="1" x14ac:dyDescent="0.35">
      <c r="A14" s="1">
        <v>13</v>
      </c>
      <c r="B14" s="1">
        <v>2024</v>
      </c>
      <c r="C14" s="1" t="s">
        <v>47</v>
      </c>
      <c r="D14" s="1" t="s">
        <v>163</v>
      </c>
      <c r="E14" s="1" t="s">
        <v>164</v>
      </c>
      <c r="F14" s="1" t="s">
        <v>165</v>
      </c>
      <c r="G14" s="1">
        <v>6</v>
      </c>
    </row>
    <row r="15" spans="1:7" ht="13.4" customHeight="1" x14ac:dyDescent="0.35">
      <c r="A15" s="1">
        <v>14</v>
      </c>
      <c r="B15" s="1">
        <v>2025</v>
      </c>
      <c r="C15" s="1" t="s">
        <v>49</v>
      </c>
      <c r="D15" s="1" t="s">
        <v>163</v>
      </c>
      <c r="E15" s="1" t="s">
        <v>164</v>
      </c>
      <c r="F15" s="1" t="s">
        <v>166</v>
      </c>
      <c r="G15" s="1">
        <v>9</v>
      </c>
    </row>
    <row r="16" spans="1:7" ht="13.4" customHeight="1" x14ac:dyDescent="0.35">
      <c r="A16" s="1">
        <v>15</v>
      </c>
      <c r="B16" s="1">
        <v>2026</v>
      </c>
      <c r="C16" s="1" t="s">
        <v>50</v>
      </c>
      <c r="D16" s="1" t="s">
        <v>167</v>
      </c>
      <c r="E16" s="1" t="s">
        <v>168</v>
      </c>
      <c r="F16" s="1" t="s">
        <v>169</v>
      </c>
      <c r="G16" s="1">
        <v>14</v>
      </c>
    </row>
    <row r="17" spans="1:7" ht="13.4" customHeight="1" x14ac:dyDescent="0.35">
      <c r="A17" s="1">
        <v>16</v>
      </c>
      <c r="B17" s="1">
        <v>2022</v>
      </c>
      <c r="C17" s="1" t="s">
        <v>52</v>
      </c>
      <c r="D17" s="1" t="s">
        <v>167</v>
      </c>
      <c r="E17" s="1" t="s">
        <v>168</v>
      </c>
      <c r="F17" s="1" t="s">
        <v>170</v>
      </c>
      <c r="G17" s="1">
        <v>1</v>
      </c>
    </row>
    <row r="18" spans="1:7" ht="13.4" customHeight="1" x14ac:dyDescent="0.35">
      <c r="A18" s="1">
        <v>17</v>
      </c>
      <c r="B18" s="1">
        <v>2023</v>
      </c>
      <c r="C18" s="1" t="s">
        <v>53</v>
      </c>
      <c r="D18" s="1" t="s">
        <v>167</v>
      </c>
      <c r="E18" s="1" t="s">
        <v>171</v>
      </c>
      <c r="F18" s="1" t="s">
        <v>172</v>
      </c>
      <c r="G18" s="1">
        <v>4</v>
      </c>
    </row>
    <row r="19" spans="1:7" ht="13.4" customHeight="1" x14ac:dyDescent="0.35">
      <c r="A19" s="1">
        <v>18</v>
      </c>
      <c r="B19" s="1">
        <v>2024</v>
      </c>
      <c r="C19" s="1" t="s">
        <v>54</v>
      </c>
      <c r="D19" s="1" t="s">
        <v>163</v>
      </c>
      <c r="E19" s="1" t="s">
        <v>173</v>
      </c>
      <c r="F19" s="1" t="s">
        <v>174</v>
      </c>
      <c r="G19" s="1">
        <v>7</v>
      </c>
    </row>
    <row r="20" spans="1:7" ht="13.4" customHeight="1" x14ac:dyDescent="0.35">
      <c r="A20" s="1">
        <v>19</v>
      </c>
      <c r="B20" s="1">
        <v>2025</v>
      </c>
      <c r="C20" s="1" t="s">
        <v>57</v>
      </c>
      <c r="D20" s="1" t="s">
        <v>175</v>
      </c>
      <c r="E20" s="1" t="s">
        <v>176</v>
      </c>
      <c r="F20" s="1" t="s">
        <v>177</v>
      </c>
      <c r="G20" s="1">
        <v>6</v>
      </c>
    </row>
    <row r="21" spans="1:7" ht="13.4" customHeight="1" x14ac:dyDescent="0.35">
      <c r="A21" s="1">
        <v>20</v>
      </c>
      <c r="B21" s="1">
        <v>2026</v>
      </c>
      <c r="C21" s="1" t="s">
        <v>59</v>
      </c>
      <c r="D21" s="1" t="s">
        <v>167</v>
      </c>
      <c r="E21" s="1" t="s">
        <v>178</v>
      </c>
      <c r="F21" s="1" t="s">
        <v>179</v>
      </c>
      <c r="G21" s="1">
        <v>14</v>
      </c>
    </row>
    <row r="22" spans="1:7" ht="13.4" customHeight="1" x14ac:dyDescent="0.35">
      <c r="A22" s="1">
        <v>21</v>
      </c>
      <c r="B22" s="1">
        <v>2022</v>
      </c>
      <c r="C22" s="1" t="s">
        <v>60</v>
      </c>
      <c r="D22" s="1" t="s">
        <v>163</v>
      </c>
      <c r="E22" s="1" t="s">
        <v>180</v>
      </c>
      <c r="F22" s="1" t="s">
        <v>181</v>
      </c>
      <c r="G22" s="1">
        <v>10</v>
      </c>
    </row>
    <row r="23" spans="1:7" ht="13.4" customHeight="1" x14ac:dyDescent="0.35">
      <c r="A23" s="1">
        <v>22</v>
      </c>
      <c r="B23" s="1">
        <v>2023</v>
      </c>
      <c r="C23" s="1" t="s">
        <v>61</v>
      </c>
      <c r="D23" s="1" t="s">
        <v>167</v>
      </c>
      <c r="E23" s="1" t="s">
        <v>182</v>
      </c>
      <c r="F23" s="1" t="s">
        <v>183</v>
      </c>
      <c r="G23" s="1">
        <v>5</v>
      </c>
    </row>
    <row r="24" spans="1:7" ht="13.4" customHeight="1" x14ac:dyDescent="0.35">
      <c r="A24" s="1">
        <v>23</v>
      </c>
      <c r="B24" s="1">
        <v>2024</v>
      </c>
      <c r="C24" s="1" t="s">
        <v>62</v>
      </c>
      <c r="D24" s="1" t="s">
        <v>163</v>
      </c>
      <c r="E24" s="1" t="s">
        <v>184</v>
      </c>
      <c r="F24" s="1" t="s">
        <v>185</v>
      </c>
      <c r="G24" s="1">
        <v>8</v>
      </c>
    </row>
    <row r="25" spans="1:7" ht="13.4" customHeight="1" x14ac:dyDescent="0.35">
      <c r="A25" s="1">
        <v>24</v>
      </c>
      <c r="B25" s="1">
        <v>2025</v>
      </c>
      <c r="C25" s="1" t="s">
        <v>63</v>
      </c>
      <c r="D25" s="1" t="s">
        <v>167</v>
      </c>
      <c r="E25" s="1" t="s">
        <v>186</v>
      </c>
      <c r="F25" s="1" t="s">
        <v>187</v>
      </c>
      <c r="G25" s="1">
        <v>2</v>
      </c>
    </row>
    <row r="26" spans="1:7" ht="13.4" customHeight="1" x14ac:dyDescent="0.35">
      <c r="A26" s="1">
        <v>25</v>
      </c>
      <c r="B26" s="1">
        <v>2026</v>
      </c>
      <c r="C26" s="1" t="s">
        <v>65</v>
      </c>
      <c r="D26" s="1" t="s">
        <v>163</v>
      </c>
      <c r="E26" s="1" t="s">
        <v>164</v>
      </c>
      <c r="F26" s="1" t="s">
        <v>165</v>
      </c>
      <c r="G26" s="1">
        <v>7</v>
      </c>
    </row>
    <row r="27" spans="1:7" ht="13.4" customHeight="1" x14ac:dyDescent="0.35">
      <c r="A27" s="1">
        <v>26</v>
      </c>
      <c r="B27" s="1">
        <v>2022</v>
      </c>
      <c r="C27" s="1" t="s">
        <v>68</v>
      </c>
      <c r="D27" s="1" t="s">
        <v>163</v>
      </c>
      <c r="E27" s="1" t="s">
        <v>164</v>
      </c>
      <c r="F27" s="1" t="s">
        <v>166</v>
      </c>
      <c r="G27" s="1">
        <v>9</v>
      </c>
    </row>
    <row r="28" spans="1:7" ht="13.4" customHeight="1" x14ac:dyDescent="0.35">
      <c r="A28" s="1">
        <v>27</v>
      </c>
      <c r="B28" s="1">
        <v>2023</v>
      </c>
      <c r="C28" s="1" t="s">
        <v>71</v>
      </c>
      <c r="D28" s="1" t="s">
        <v>167</v>
      </c>
      <c r="E28" s="1" t="s">
        <v>168</v>
      </c>
      <c r="F28" s="1" t="s">
        <v>169</v>
      </c>
      <c r="G28" s="1">
        <v>4</v>
      </c>
    </row>
    <row r="29" spans="1:7" ht="13.4" customHeight="1" x14ac:dyDescent="0.35">
      <c r="A29" s="1">
        <v>28</v>
      </c>
      <c r="B29" s="1">
        <v>2024</v>
      </c>
      <c r="C29" s="1" t="s">
        <v>72</v>
      </c>
      <c r="D29" s="1" t="s">
        <v>167</v>
      </c>
      <c r="E29" s="1" t="s">
        <v>168</v>
      </c>
      <c r="F29" s="1" t="s">
        <v>170</v>
      </c>
      <c r="G29" s="1">
        <v>8</v>
      </c>
    </row>
    <row r="30" spans="1:7" ht="13.4" customHeight="1" x14ac:dyDescent="0.35">
      <c r="A30" s="1">
        <v>29</v>
      </c>
      <c r="B30" s="1">
        <v>2025</v>
      </c>
      <c r="C30" s="1" t="s">
        <v>73</v>
      </c>
      <c r="D30" s="1" t="s">
        <v>167</v>
      </c>
      <c r="E30" s="1" t="s">
        <v>171</v>
      </c>
      <c r="F30" s="1" t="s">
        <v>172</v>
      </c>
      <c r="G30" s="1">
        <v>12</v>
      </c>
    </row>
    <row r="31" spans="1:7" ht="13.4" customHeight="1" x14ac:dyDescent="0.35">
      <c r="A31" s="1">
        <v>30</v>
      </c>
      <c r="B31" s="1">
        <v>2026</v>
      </c>
      <c r="C31" s="1" t="s">
        <v>74</v>
      </c>
      <c r="D31" s="1" t="s">
        <v>163</v>
      </c>
      <c r="E31" s="1" t="s">
        <v>173</v>
      </c>
      <c r="F31" s="1" t="s">
        <v>174</v>
      </c>
      <c r="G31" s="1">
        <v>21</v>
      </c>
    </row>
    <row r="32" spans="1:7" ht="13.4" customHeight="1" x14ac:dyDescent="0.35">
      <c r="A32" s="1">
        <v>31</v>
      </c>
      <c r="B32" s="1">
        <v>2022</v>
      </c>
      <c r="C32" s="1" t="s">
        <v>75</v>
      </c>
      <c r="D32" s="1" t="s">
        <v>175</v>
      </c>
      <c r="E32" s="1" t="s">
        <v>176</v>
      </c>
      <c r="F32" s="1" t="s">
        <v>177</v>
      </c>
      <c r="G32" s="1">
        <v>10</v>
      </c>
    </row>
    <row r="33" spans="1:7" ht="13.4" customHeight="1" x14ac:dyDescent="0.35">
      <c r="A33" s="1">
        <v>32</v>
      </c>
      <c r="B33" s="1">
        <v>2023</v>
      </c>
      <c r="C33" s="1" t="s">
        <v>77</v>
      </c>
      <c r="D33" s="1" t="s">
        <v>167</v>
      </c>
      <c r="E33" s="1" t="s">
        <v>178</v>
      </c>
      <c r="F33" s="1" t="s">
        <v>179</v>
      </c>
      <c r="G33" s="1">
        <v>4</v>
      </c>
    </row>
    <row r="34" spans="1:7" ht="13.4" customHeight="1" x14ac:dyDescent="0.35">
      <c r="A34" s="1">
        <v>33</v>
      </c>
      <c r="B34" s="1">
        <v>2024</v>
      </c>
      <c r="C34" s="1" t="s">
        <v>79</v>
      </c>
      <c r="D34" s="1" t="s">
        <v>163</v>
      </c>
      <c r="E34" s="1" t="s">
        <v>180</v>
      </c>
      <c r="F34" s="1" t="s">
        <v>181</v>
      </c>
      <c r="G34" s="1">
        <v>6</v>
      </c>
    </row>
    <row r="35" spans="1:7" ht="13.4" customHeight="1" x14ac:dyDescent="0.35">
      <c r="A35" s="1">
        <v>34</v>
      </c>
      <c r="B35" s="1">
        <v>2025</v>
      </c>
      <c r="C35" s="1" t="s">
        <v>81</v>
      </c>
      <c r="D35" s="1" t="s">
        <v>167</v>
      </c>
      <c r="E35" s="1" t="s">
        <v>182</v>
      </c>
      <c r="F35" s="1" t="s">
        <v>183</v>
      </c>
      <c r="G35" s="1">
        <v>4</v>
      </c>
    </row>
    <row r="36" spans="1:7" ht="13.4" customHeight="1" x14ac:dyDescent="0.35">
      <c r="A36" s="1">
        <v>35</v>
      </c>
      <c r="B36" s="1">
        <v>2026</v>
      </c>
      <c r="C36" s="1" t="s">
        <v>83</v>
      </c>
      <c r="D36" s="1" t="s">
        <v>163</v>
      </c>
      <c r="E36" s="1" t="s">
        <v>184</v>
      </c>
      <c r="F36" s="1" t="s">
        <v>185</v>
      </c>
      <c r="G36" s="1">
        <v>12</v>
      </c>
    </row>
    <row r="37" spans="1:7" ht="13.4" customHeight="1" x14ac:dyDescent="0.35">
      <c r="A37" s="1">
        <v>36</v>
      </c>
      <c r="B37" s="1">
        <v>2022</v>
      </c>
      <c r="C37" s="1" t="s">
        <v>85</v>
      </c>
      <c r="D37" s="1" t="s">
        <v>167</v>
      </c>
      <c r="E37" s="1" t="s">
        <v>186</v>
      </c>
      <c r="F37" s="1" t="s">
        <v>187</v>
      </c>
      <c r="G37" s="1">
        <v>4</v>
      </c>
    </row>
    <row r="38" spans="1:7" ht="13.4" customHeight="1" x14ac:dyDescent="0.35">
      <c r="A38" s="1">
        <v>37</v>
      </c>
      <c r="B38" s="1">
        <v>2023</v>
      </c>
      <c r="C38" s="1" t="s">
        <v>87</v>
      </c>
      <c r="D38" s="1" t="s">
        <v>163</v>
      </c>
      <c r="E38" s="1" t="s">
        <v>164</v>
      </c>
      <c r="F38" s="1" t="s">
        <v>165</v>
      </c>
      <c r="G38" s="1">
        <v>5</v>
      </c>
    </row>
    <row r="39" spans="1:7" ht="13.4" customHeight="1" x14ac:dyDescent="0.35">
      <c r="A39" s="1">
        <v>38</v>
      </c>
      <c r="B39" s="1">
        <v>2024</v>
      </c>
      <c r="C39" s="1" t="s">
        <v>89</v>
      </c>
      <c r="D39" s="1" t="s">
        <v>163</v>
      </c>
      <c r="E39" s="1" t="s">
        <v>164</v>
      </c>
      <c r="F39" s="1" t="s">
        <v>166</v>
      </c>
      <c r="G39" s="1">
        <v>11</v>
      </c>
    </row>
    <row r="40" spans="1:7" ht="13.4" customHeight="1" x14ac:dyDescent="0.35">
      <c r="A40" s="1">
        <v>39</v>
      </c>
      <c r="B40" s="1">
        <v>2025</v>
      </c>
      <c r="C40" s="1" t="s">
        <v>90</v>
      </c>
      <c r="D40" s="1" t="s">
        <v>167</v>
      </c>
      <c r="E40" s="1" t="s">
        <v>168</v>
      </c>
      <c r="F40" s="1" t="s">
        <v>169</v>
      </c>
      <c r="G40" s="1">
        <v>14</v>
      </c>
    </row>
    <row r="41" spans="1:7" ht="13.4" customHeight="1" x14ac:dyDescent="0.35">
      <c r="A41" s="1">
        <v>40</v>
      </c>
      <c r="B41" s="1">
        <v>2026</v>
      </c>
      <c r="C41" s="1" t="s">
        <v>91</v>
      </c>
      <c r="D41" s="1" t="s">
        <v>167</v>
      </c>
      <c r="E41" s="1" t="s">
        <v>168</v>
      </c>
      <c r="F41" s="1" t="s">
        <v>170</v>
      </c>
      <c r="G41" s="1">
        <v>2</v>
      </c>
    </row>
    <row r="42" spans="1:7" ht="13.4" customHeight="1" x14ac:dyDescent="0.35">
      <c r="A42" s="1">
        <v>41</v>
      </c>
      <c r="B42" s="1">
        <v>2022</v>
      </c>
      <c r="C42" s="1" t="s">
        <v>92</v>
      </c>
      <c r="D42" s="1" t="s">
        <v>167</v>
      </c>
      <c r="E42" s="1" t="s">
        <v>171</v>
      </c>
      <c r="F42" s="1" t="s">
        <v>172</v>
      </c>
      <c r="G42" s="1">
        <v>8</v>
      </c>
    </row>
    <row r="43" spans="1:7" ht="13.4" customHeight="1" x14ac:dyDescent="0.35">
      <c r="A43" s="1">
        <v>42</v>
      </c>
      <c r="B43" s="1">
        <v>2023</v>
      </c>
      <c r="C43" s="1" t="s">
        <v>93</v>
      </c>
      <c r="D43" s="1" t="s">
        <v>163</v>
      </c>
      <c r="E43" s="1" t="s">
        <v>173</v>
      </c>
      <c r="F43" s="1" t="s">
        <v>174</v>
      </c>
      <c r="G43" s="1">
        <v>3</v>
      </c>
    </row>
    <row r="44" spans="1:7" ht="13.4" customHeight="1" x14ac:dyDescent="0.35">
      <c r="A44" s="1">
        <v>43</v>
      </c>
      <c r="B44" s="1">
        <v>2024</v>
      </c>
      <c r="C44" s="1" t="s">
        <v>95</v>
      </c>
      <c r="D44" s="1" t="s">
        <v>175</v>
      </c>
      <c r="E44" s="1" t="s">
        <v>176</v>
      </c>
      <c r="F44" s="1" t="s">
        <v>177</v>
      </c>
      <c r="G44" s="1">
        <v>6</v>
      </c>
    </row>
    <row r="45" spans="1:7" ht="13.4" customHeight="1" x14ac:dyDescent="0.35">
      <c r="A45" s="1">
        <v>44</v>
      </c>
      <c r="B45" s="1">
        <v>2025</v>
      </c>
      <c r="C45" s="1" t="s">
        <v>97</v>
      </c>
      <c r="D45" s="1" t="s">
        <v>167</v>
      </c>
      <c r="E45" s="1" t="s">
        <v>178</v>
      </c>
      <c r="F45" s="1" t="s">
        <v>179</v>
      </c>
      <c r="G45" s="1">
        <v>9</v>
      </c>
    </row>
    <row r="46" spans="1:7" ht="13.4" customHeight="1" x14ac:dyDescent="0.35">
      <c r="A46" s="1">
        <v>45</v>
      </c>
      <c r="B46" s="1">
        <v>2026</v>
      </c>
      <c r="C46" s="1" t="s">
        <v>98</v>
      </c>
      <c r="D46" s="1" t="s">
        <v>163</v>
      </c>
      <c r="E46" s="1" t="s">
        <v>180</v>
      </c>
      <c r="F46" s="1" t="s">
        <v>181</v>
      </c>
      <c r="G46" s="1">
        <v>11</v>
      </c>
    </row>
    <row r="47" spans="1:7" ht="13.4" customHeight="1" x14ac:dyDescent="0.35">
      <c r="A47" s="1">
        <v>46</v>
      </c>
      <c r="B47" s="1">
        <v>2022</v>
      </c>
      <c r="C47" s="1" t="s">
        <v>99</v>
      </c>
      <c r="D47" s="1" t="s">
        <v>167</v>
      </c>
      <c r="E47" s="1" t="s">
        <v>182</v>
      </c>
      <c r="F47" s="1" t="s">
        <v>183</v>
      </c>
      <c r="G47" s="1">
        <v>12</v>
      </c>
    </row>
    <row r="48" spans="1:7" ht="13.4" customHeight="1" x14ac:dyDescent="0.35">
      <c r="A48" s="1">
        <v>47</v>
      </c>
      <c r="B48" s="1">
        <v>2023</v>
      </c>
      <c r="C48" s="1" t="s">
        <v>101</v>
      </c>
      <c r="D48" s="1" t="s">
        <v>163</v>
      </c>
      <c r="E48" s="1" t="s">
        <v>184</v>
      </c>
      <c r="F48" s="1" t="s">
        <v>185</v>
      </c>
      <c r="G48" s="1">
        <v>13</v>
      </c>
    </row>
    <row r="49" spans="1:7" ht="13.4" customHeight="1" x14ac:dyDescent="0.35">
      <c r="A49" s="1">
        <v>48</v>
      </c>
      <c r="B49" s="1">
        <v>2024</v>
      </c>
      <c r="C49" s="1" t="s">
        <v>103</v>
      </c>
      <c r="D49" s="1" t="s">
        <v>167</v>
      </c>
      <c r="E49" s="1" t="s">
        <v>186</v>
      </c>
      <c r="F49" s="1" t="s">
        <v>187</v>
      </c>
      <c r="G49" s="1">
        <v>5</v>
      </c>
    </row>
    <row r="50" spans="1:7" ht="13.4" customHeight="1" x14ac:dyDescent="0.35">
      <c r="A50" s="1">
        <v>49</v>
      </c>
      <c r="B50" s="1">
        <v>2025</v>
      </c>
      <c r="C50" s="1" t="s">
        <v>104</v>
      </c>
      <c r="D50" s="1" t="s">
        <v>163</v>
      </c>
      <c r="E50" s="1" t="s">
        <v>164</v>
      </c>
      <c r="F50" s="1" t="s">
        <v>165</v>
      </c>
      <c r="G50" s="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opLeftCell="E32" workbookViewId="0">
      <selection activeCell="H55" sqref="H55"/>
    </sheetView>
  </sheetViews>
  <sheetFormatPr defaultRowHeight="14.5" x14ac:dyDescent="0.35"/>
  <cols>
    <col min="1" max="2" width="8" customWidth="1"/>
    <col min="3" max="3" width="22" customWidth="1"/>
    <col min="4" max="4" width="16" customWidth="1"/>
    <col min="5" max="5" width="26" customWidth="1"/>
    <col min="6" max="6" width="16" customWidth="1"/>
    <col min="7" max="7" width="20" customWidth="1"/>
    <col min="8" max="8" width="24" customWidth="1"/>
    <col min="9" max="9" width="22" customWidth="1"/>
    <col min="10" max="10" width="24" customWidth="1"/>
    <col min="11" max="11" width="12" customWidth="1"/>
    <col min="12" max="12" width="10" customWidth="1"/>
  </cols>
  <sheetData>
    <row r="1" spans="1:12" ht="22.65" customHeight="1" x14ac:dyDescent="0.35">
      <c r="A1" s="3" t="s">
        <v>0</v>
      </c>
      <c r="B1" s="3" t="s">
        <v>1</v>
      </c>
      <c r="C1" s="3" t="s">
        <v>2</v>
      </c>
      <c r="D1" s="3" t="s">
        <v>188</v>
      </c>
      <c r="E1" s="3" t="s">
        <v>189</v>
      </c>
      <c r="F1" s="3" t="s">
        <v>190</v>
      </c>
      <c r="G1" s="3" t="s">
        <v>191</v>
      </c>
      <c r="H1" s="3" t="s">
        <v>192</v>
      </c>
      <c r="I1" s="3" t="s">
        <v>193</v>
      </c>
      <c r="J1" s="3" t="s">
        <v>194</v>
      </c>
      <c r="K1" s="3" t="s">
        <v>195</v>
      </c>
      <c r="L1" s="3" t="s">
        <v>196</v>
      </c>
    </row>
    <row r="2" spans="1:12" ht="13.4" customHeight="1" x14ac:dyDescent="0.35">
      <c r="A2" s="1">
        <v>1</v>
      </c>
      <c r="B2" s="1">
        <v>2022</v>
      </c>
      <c r="C2" s="1" t="s">
        <v>13</v>
      </c>
      <c r="D2" s="1" t="s">
        <v>175</v>
      </c>
      <c r="E2" s="1" t="s">
        <v>197</v>
      </c>
      <c r="F2" s="1" t="s">
        <v>198</v>
      </c>
      <c r="G2" s="1" t="s">
        <v>199</v>
      </c>
      <c r="H2" s="1" t="s">
        <v>200</v>
      </c>
      <c r="I2" s="5">
        <v>0.16</v>
      </c>
      <c r="J2" s="5">
        <v>13.5</v>
      </c>
      <c r="K2" s="5">
        <v>1.94</v>
      </c>
      <c r="L2" s="1">
        <v>133</v>
      </c>
    </row>
    <row r="3" spans="1:12" ht="13.4" customHeight="1" x14ac:dyDescent="0.35">
      <c r="A3" s="1">
        <v>2</v>
      </c>
      <c r="B3" s="1">
        <v>2023</v>
      </c>
      <c r="C3" s="1" t="s">
        <v>18</v>
      </c>
      <c r="D3" s="1" t="s">
        <v>163</v>
      </c>
      <c r="E3" s="1" t="s">
        <v>201</v>
      </c>
      <c r="F3" s="1" t="s">
        <v>202</v>
      </c>
      <c r="G3" s="1" t="s">
        <v>203</v>
      </c>
      <c r="H3" s="1" t="s">
        <v>204</v>
      </c>
      <c r="I3" s="5">
        <v>0.59</v>
      </c>
      <c r="J3" s="5">
        <v>19</v>
      </c>
      <c r="K3" s="5">
        <v>7.16</v>
      </c>
      <c r="L3" s="1">
        <v>359</v>
      </c>
    </row>
    <row r="4" spans="1:12" ht="13.4" customHeight="1" x14ac:dyDescent="0.35">
      <c r="A4" s="1">
        <v>3</v>
      </c>
      <c r="B4" s="1">
        <v>2024</v>
      </c>
      <c r="C4" s="1" t="s">
        <v>22</v>
      </c>
      <c r="D4" s="1" t="s">
        <v>163</v>
      </c>
      <c r="E4" s="1" t="s">
        <v>205</v>
      </c>
      <c r="F4" s="1" t="s">
        <v>206</v>
      </c>
      <c r="G4" s="1" t="s">
        <v>199</v>
      </c>
      <c r="H4" s="1" t="s">
        <v>200</v>
      </c>
      <c r="I4" s="5">
        <v>0.09</v>
      </c>
      <c r="J4" s="5">
        <v>24.5</v>
      </c>
      <c r="K4" s="5">
        <v>1.1200000000000001</v>
      </c>
      <c r="L4" s="1">
        <v>126</v>
      </c>
    </row>
    <row r="5" spans="1:12" ht="13.4" customHeight="1" x14ac:dyDescent="0.35">
      <c r="A5" s="1">
        <v>4</v>
      </c>
      <c r="B5" s="1">
        <v>2025</v>
      </c>
      <c r="C5" s="1" t="s">
        <v>27</v>
      </c>
      <c r="D5" s="1" t="s">
        <v>163</v>
      </c>
      <c r="E5" s="1" t="s">
        <v>207</v>
      </c>
      <c r="F5" s="1" t="s">
        <v>208</v>
      </c>
      <c r="G5" s="1" t="s">
        <v>199</v>
      </c>
      <c r="H5" s="1" t="s">
        <v>200</v>
      </c>
      <c r="I5" s="5">
        <v>0.05</v>
      </c>
      <c r="J5" s="5">
        <v>30</v>
      </c>
      <c r="K5" s="5">
        <v>0.66</v>
      </c>
      <c r="L5" s="1">
        <v>180</v>
      </c>
    </row>
    <row r="6" spans="1:12" ht="13.4" customHeight="1" x14ac:dyDescent="0.35">
      <c r="A6" s="1">
        <v>5</v>
      </c>
      <c r="B6" s="1">
        <v>2026</v>
      </c>
      <c r="C6" s="1" t="s">
        <v>29</v>
      </c>
      <c r="D6" s="1" t="s">
        <v>167</v>
      </c>
      <c r="E6" s="1" t="s">
        <v>209</v>
      </c>
      <c r="F6" s="1" t="s">
        <v>210</v>
      </c>
      <c r="G6" s="1" t="s">
        <v>199</v>
      </c>
      <c r="H6" s="1" t="s">
        <v>211</v>
      </c>
      <c r="I6" s="5">
        <v>2.0299999999999998</v>
      </c>
      <c r="J6" s="5">
        <v>35.5</v>
      </c>
      <c r="K6" s="5">
        <v>24.61</v>
      </c>
      <c r="L6" s="1">
        <v>588</v>
      </c>
    </row>
    <row r="7" spans="1:12" ht="13.4" customHeight="1" x14ac:dyDescent="0.35">
      <c r="A7" s="1">
        <v>6</v>
      </c>
      <c r="B7" s="1">
        <v>2022</v>
      </c>
      <c r="C7" s="1" t="s">
        <v>32</v>
      </c>
      <c r="D7" s="1" t="s">
        <v>167</v>
      </c>
      <c r="E7" s="1" t="s">
        <v>212</v>
      </c>
      <c r="F7" s="1" t="s">
        <v>212</v>
      </c>
      <c r="G7" s="1" t="s">
        <v>213</v>
      </c>
      <c r="H7" s="1" t="s">
        <v>214</v>
      </c>
      <c r="I7" s="5">
        <v>0.28000000000000003</v>
      </c>
      <c r="J7" s="5">
        <v>41</v>
      </c>
      <c r="K7" s="5">
        <v>3.47</v>
      </c>
      <c r="L7" s="1">
        <v>219</v>
      </c>
    </row>
    <row r="8" spans="1:12" ht="13.4" customHeight="1" x14ac:dyDescent="0.35">
      <c r="A8" s="1">
        <v>7</v>
      </c>
      <c r="B8" s="1">
        <v>2023</v>
      </c>
      <c r="C8" s="1" t="s">
        <v>35</v>
      </c>
      <c r="D8" s="1" t="s">
        <v>167</v>
      </c>
      <c r="E8" s="1" t="s">
        <v>215</v>
      </c>
      <c r="F8" s="1" t="s">
        <v>215</v>
      </c>
      <c r="G8" s="1" t="s">
        <v>213</v>
      </c>
      <c r="H8" s="1" t="s">
        <v>216</v>
      </c>
      <c r="I8" s="5">
        <v>0.52</v>
      </c>
      <c r="J8" s="5">
        <v>46.5</v>
      </c>
      <c r="K8" s="5">
        <v>6.43</v>
      </c>
      <c r="L8" s="1">
        <v>349</v>
      </c>
    </row>
    <row r="9" spans="1:12" ht="13.4" customHeight="1" x14ac:dyDescent="0.35">
      <c r="A9" s="1">
        <v>8</v>
      </c>
      <c r="B9" s="1">
        <v>2024</v>
      </c>
      <c r="C9" s="1" t="s">
        <v>37</v>
      </c>
      <c r="D9" s="1" t="s">
        <v>167</v>
      </c>
      <c r="E9" s="1" t="s">
        <v>217</v>
      </c>
      <c r="F9" s="1" t="s">
        <v>218</v>
      </c>
      <c r="G9" s="1" t="s">
        <v>203</v>
      </c>
      <c r="H9" s="1" t="s">
        <v>200</v>
      </c>
      <c r="I9" s="5">
        <v>1.32</v>
      </c>
      <c r="J9" s="5">
        <v>52</v>
      </c>
      <c r="K9" s="5">
        <v>16.22</v>
      </c>
      <c r="L9" s="1">
        <v>614</v>
      </c>
    </row>
    <row r="10" spans="1:12" ht="13.4" customHeight="1" x14ac:dyDescent="0.35">
      <c r="A10" s="1">
        <v>9</v>
      </c>
      <c r="B10" s="1">
        <v>2025</v>
      </c>
      <c r="C10" s="1" t="s">
        <v>39</v>
      </c>
      <c r="D10" s="1" t="s">
        <v>175</v>
      </c>
      <c r="E10" s="1" t="s">
        <v>219</v>
      </c>
      <c r="F10" s="1" t="s">
        <v>220</v>
      </c>
      <c r="G10" s="1" t="s">
        <v>199</v>
      </c>
      <c r="H10" s="1" t="s">
        <v>200</v>
      </c>
      <c r="I10" s="5">
        <v>0.06</v>
      </c>
      <c r="J10" s="5">
        <v>57.5</v>
      </c>
      <c r="K10" s="5">
        <v>0.78</v>
      </c>
      <c r="L10" s="1">
        <v>88</v>
      </c>
    </row>
    <row r="11" spans="1:12" ht="13.4" customHeight="1" x14ac:dyDescent="0.35">
      <c r="A11" s="1">
        <v>10</v>
      </c>
      <c r="B11" s="1">
        <v>2026</v>
      </c>
      <c r="C11" s="1" t="s">
        <v>42</v>
      </c>
      <c r="D11" s="1" t="s">
        <v>163</v>
      </c>
      <c r="E11" s="1" t="s">
        <v>221</v>
      </c>
      <c r="F11" s="1" t="s">
        <v>221</v>
      </c>
      <c r="G11" s="1" t="s">
        <v>203</v>
      </c>
      <c r="H11" s="1" t="s">
        <v>200</v>
      </c>
      <c r="I11" s="5">
        <v>0.18</v>
      </c>
      <c r="J11" s="5">
        <v>8</v>
      </c>
      <c r="K11" s="5">
        <v>2.17</v>
      </c>
      <c r="L11" s="1">
        <v>143</v>
      </c>
    </row>
    <row r="12" spans="1:12" ht="13.4" customHeight="1" x14ac:dyDescent="0.35">
      <c r="A12" s="1">
        <v>11</v>
      </c>
      <c r="B12" s="1">
        <v>2022</v>
      </c>
      <c r="C12" s="1" t="s">
        <v>43</v>
      </c>
      <c r="D12" s="1" t="s">
        <v>167</v>
      </c>
      <c r="E12" s="1" t="s">
        <v>222</v>
      </c>
      <c r="F12" s="1" t="s">
        <v>198</v>
      </c>
      <c r="G12" s="1" t="s">
        <v>203</v>
      </c>
      <c r="H12" s="1" t="s">
        <v>223</v>
      </c>
      <c r="I12" s="5">
        <v>0.18</v>
      </c>
      <c r="J12" s="5">
        <v>13.5</v>
      </c>
      <c r="K12" s="5">
        <v>2.1800000000000002</v>
      </c>
      <c r="L12" s="1">
        <v>125</v>
      </c>
    </row>
    <row r="13" spans="1:12" ht="13.4" customHeight="1" x14ac:dyDescent="0.35">
      <c r="A13" s="1">
        <v>12</v>
      </c>
      <c r="B13" s="1">
        <v>2023</v>
      </c>
      <c r="C13" s="1" t="s">
        <v>45</v>
      </c>
      <c r="D13" s="1" t="s">
        <v>167</v>
      </c>
      <c r="E13" s="1" t="s">
        <v>224</v>
      </c>
      <c r="F13" s="1" t="s">
        <v>225</v>
      </c>
      <c r="G13" s="1" t="s">
        <v>199</v>
      </c>
      <c r="H13" s="1" t="s">
        <v>200</v>
      </c>
      <c r="I13" s="5">
        <v>0.05</v>
      </c>
      <c r="J13" s="5">
        <v>19</v>
      </c>
      <c r="K13" s="5">
        <v>0.63</v>
      </c>
      <c r="L13" s="1">
        <v>139</v>
      </c>
    </row>
    <row r="14" spans="1:12" ht="13.4" customHeight="1" x14ac:dyDescent="0.35">
      <c r="A14" s="1">
        <v>13</v>
      </c>
      <c r="B14" s="1">
        <v>2024</v>
      </c>
      <c r="C14" s="1" t="s">
        <v>47</v>
      </c>
      <c r="D14" s="1" t="s">
        <v>163</v>
      </c>
      <c r="E14" s="1" t="s">
        <v>226</v>
      </c>
      <c r="F14" s="1" t="s">
        <v>226</v>
      </c>
      <c r="G14" s="1" t="s">
        <v>203</v>
      </c>
      <c r="H14" s="1" t="s">
        <v>200</v>
      </c>
      <c r="I14" s="5">
        <v>0.06</v>
      </c>
      <c r="J14" s="5">
        <v>24.5</v>
      </c>
      <c r="K14" s="5">
        <v>0.78</v>
      </c>
      <c r="L14" s="1">
        <v>190</v>
      </c>
    </row>
    <row r="15" spans="1:12" ht="13.4" customHeight="1" x14ac:dyDescent="0.35">
      <c r="A15" s="1">
        <v>14</v>
      </c>
      <c r="B15" s="1">
        <v>2025</v>
      </c>
      <c r="C15" s="1" t="s">
        <v>49</v>
      </c>
      <c r="D15" s="1" t="s">
        <v>175</v>
      </c>
      <c r="E15" s="1" t="s">
        <v>227</v>
      </c>
      <c r="F15" s="1" t="s">
        <v>228</v>
      </c>
      <c r="G15" s="1" t="s">
        <v>203</v>
      </c>
      <c r="H15" s="1" t="s">
        <v>200</v>
      </c>
      <c r="I15" s="5">
        <v>0.05</v>
      </c>
      <c r="J15" s="5">
        <v>30</v>
      </c>
      <c r="K15" s="5">
        <v>0.72</v>
      </c>
      <c r="L15" s="1">
        <v>326</v>
      </c>
    </row>
    <row r="16" spans="1:12" ht="13.4" customHeight="1" x14ac:dyDescent="0.35">
      <c r="A16" s="1">
        <v>15</v>
      </c>
      <c r="B16" s="1">
        <v>2026</v>
      </c>
      <c r="C16" s="1" t="s">
        <v>50</v>
      </c>
      <c r="D16" s="1" t="s">
        <v>167</v>
      </c>
      <c r="E16" s="1" t="s">
        <v>229</v>
      </c>
      <c r="F16" s="1" t="s">
        <v>210</v>
      </c>
      <c r="G16" s="1" t="s">
        <v>213</v>
      </c>
      <c r="H16" s="1" t="s">
        <v>230</v>
      </c>
      <c r="I16" s="5">
        <v>0.4</v>
      </c>
      <c r="J16" s="5">
        <v>35.5</v>
      </c>
      <c r="K16" s="5">
        <v>4.9400000000000004</v>
      </c>
      <c r="L16" s="1">
        <v>324</v>
      </c>
    </row>
    <row r="17" spans="1:12" ht="13.4" customHeight="1" x14ac:dyDescent="0.35">
      <c r="A17" s="1">
        <v>16</v>
      </c>
      <c r="B17" s="1">
        <v>2022</v>
      </c>
      <c r="C17" s="1" t="s">
        <v>52</v>
      </c>
      <c r="D17" s="1" t="s">
        <v>175</v>
      </c>
      <c r="E17" s="1" t="s">
        <v>197</v>
      </c>
      <c r="F17" s="1" t="s">
        <v>198</v>
      </c>
      <c r="G17" s="1" t="s">
        <v>199</v>
      </c>
      <c r="H17" s="1" t="s">
        <v>200</v>
      </c>
      <c r="I17" s="5">
        <v>0.05</v>
      </c>
      <c r="J17" s="5">
        <v>41</v>
      </c>
      <c r="K17" s="5">
        <v>0.63</v>
      </c>
      <c r="L17" s="1">
        <v>62</v>
      </c>
    </row>
    <row r="18" spans="1:12" ht="13.4" customHeight="1" x14ac:dyDescent="0.35">
      <c r="A18" s="1">
        <v>17</v>
      </c>
      <c r="B18" s="1">
        <v>2023</v>
      </c>
      <c r="C18" s="1" t="s">
        <v>53</v>
      </c>
      <c r="D18" s="1" t="s">
        <v>163</v>
      </c>
      <c r="E18" s="1" t="s">
        <v>201</v>
      </c>
      <c r="F18" s="1" t="s">
        <v>202</v>
      </c>
      <c r="G18" s="1" t="s">
        <v>203</v>
      </c>
      <c r="H18" s="1" t="s">
        <v>204</v>
      </c>
      <c r="I18" s="5">
        <v>0.43</v>
      </c>
      <c r="J18" s="5">
        <v>46.5</v>
      </c>
      <c r="K18" s="5">
        <v>5.33</v>
      </c>
      <c r="L18" s="1">
        <v>312</v>
      </c>
    </row>
    <row r="19" spans="1:12" ht="13.4" customHeight="1" x14ac:dyDescent="0.35">
      <c r="A19" s="1">
        <v>18</v>
      </c>
      <c r="B19" s="1">
        <v>2024</v>
      </c>
      <c r="C19" s="1" t="s">
        <v>54</v>
      </c>
      <c r="D19" s="1" t="s">
        <v>163</v>
      </c>
      <c r="E19" s="1" t="s">
        <v>205</v>
      </c>
      <c r="F19" s="1" t="s">
        <v>206</v>
      </c>
      <c r="G19" s="1" t="s">
        <v>199</v>
      </c>
      <c r="H19" s="1" t="s">
        <v>200</v>
      </c>
      <c r="I19" s="5">
        <v>0.11</v>
      </c>
      <c r="J19" s="5">
        <v>52</v>
      </c>
      <c r="K19" s="5">
        <v>1.41</v>
      </c>
      <c r="L19" s="1">
        <v>152</v>
      </c>
    </row>
    <row r="20" spans="1:12" ht="13.4" customHeight="1" x14ac:dyDescent="0.35">
      <c r="A20" s="1">
        <v>19</v>
      </c>
      <c r="B20" s="1">
        <v>2025</v>
      </c>
      <c r="C20" s="1" t="s">
        <v>57</v>
      </c>
      <c r="D20" s="1" t="s">
        <v>163</v>
      </c>
      <c r="E20" s="1" t="s">
        <v>207</v>
      </c>
      <c r="F20" s="1" t="s">
        <v>208</v>
      </c>
      <c r="G20" s="1" t="s">
        <v>199</v>
      </c>
      <c r="H20" s="1" t="s">
        <v>200</v>
      </c>
      <c r="I20" s="5">
        <v>7.0000000000000007E-2</v>
      </c>
      <c r="J20" s="5">
        <v>57.5</v>
      </c>
      <c r="K20" s="5">
        <v>0.96</v>
      </c>
      <c r="L20" s="1">
        <v>167</v>
      </c>
    </row>
    <row r="21" spans="1:12" ht="13.4" customHeight="1" x14ac:dyDescent="0.35">
      <c r="A21" s="1">
        <v>20</v>
      </c>
      <c r="B21" s="1">
        <v>2026</v>
      </c>
      <c r="C21" s="1" t="s">
        <v>59</v>
      </c>
      <c r="D21" s="1" t="s">
        <v>167</v>
      </c>
      <c r="E21" s="1" t="s">
        <v>209</v>
      </c>
      <c r="F21" s="1" t="s">
        <v>210</v>
      </c>
      <c r="G21" s="1" t="s">
        <v>199</v>
      </c>
      <c r="H21" s="1" t="s">
        <v>211</v>
      </c>
      <c r="I21" s="5">
        <v>7.0000000000000007E-2</v>
      </c>
      <c r="J21" s="5">
        <v>8</v>
      </c>
      <c r="K21" s="5">
        <v>0.86</v>
      </c>
      <c r="L21" s="1">
        <v>244</v>
      </c>
    </row>
    <row r="22" spans="1:12" ht="13.4" customHeight="1" x14ac:dyDescent="0.35">
      <c r="A22" s="1">
        <v>21</v>
      </c>
      <c r="B22" s="1">
        <v>2022</v>
      </c>
      <c r="C22" s="1" t="s">
        <v>60</v>
      </c>
      <c r="D22" s="1" t="s">
        <v>167</v>
      </c>
      <c r="E22" s="1" t="s">
        <v>212</v>
      </c>
      <c r="F22" s="1" t="s">
        <v>212</v>
      </c>
      <c r="G22" s="1" t="s">
        <v>213</v>
      </c>
      <c r="H22" s="1" t="s">
        <v>214</v>
      </c>
      <c r="I22" s="5">
        <v>0.14000000000000001</v>
      </c>
      <c r="J22" s="5">
        <v>13.5</v>
      </c>
      <c r="K22" s="5">
        <v>1.72</v>
      </c>
      <c r="L22" s="1">
        <v>225</v>
      </c>
    </row>
    <row r="23" spans="1:12" ht="13.4" customHeight="1" x14ac:dyDescent="0.35">
      <c r="A23" s="1">
        <v>22</v>
      </c>
      <c r="B23" s="1">
        <v>2023</v>
      </c>
      <c r="C23" s="1" t="s">
        <v>61</v>
      </c>
      <c r="D23" s="1" t="s">
        <v>167</v>
      </c>
      <c r="E23" s="1" t="s">
        <v>215</v>
      </c>
      <c r="F23" s="1" t="s">
        <v>215</v>
      </c>
      <c r="G23" s="1" t="s">
        <v>213</v>
      </c>
      <c r="H23" s="1" t="s">
        <v>216</v>
      </c>
      <c r="I23" s="5">
        <v>0.06</v>
      </c>
      <c r="J23" s="5">
        <v>19</v>
      </c>
      <c r="K23" s="5">
        <v>0.75</v>
      </c>
      <c r="L23" s="1">
        <v>145</v>
      </c>
    </row>
    <row r="24" spans="1:12" ht="13.4" customHeight="1" x14ac:dyDescent="0.35">
      <c r="A24" s="1">
        <v>23</v>
      </c>
      <c r="B24" s="1">
        <v>2024</v>
      </c>
      <c r="C24" s="1" t="s">
        <v>62</v>
      </c>
      <c r="D24" s="1" t="s">
        <v>167</v>
      </c>
      <c r="E24" s="1" t="s">
        <v>217</v>
      </c>
      <c r="F24" s="1" t="s">
        <v>218</v>
      </c>
      <c r="G24" s="1" t="s">
        <v>203</v>
      </c>
      <c r="H24" s="1" t="s">
        <v>200</v>
      </c>
      <c r="I24" s="5">
        <v>0.14000000000000001</v>
      </c>
      <c r="J24" s="5">
        <v>24.5</v>
      </c>
      <c r="K24" s="5">
        <v>1.75</v>
      </c>
      <c r="L24" s="1">
        <v>243</v>
      </c>
    </row>
    <row r="25" spans="1:12" ht="13.4" customHeight="1" x14ac:dyDescent="0.35">
      <c r="A25" s="1">
        <v>24</v>
      </c>
      <c r="B25" s="1">
        <v>2025</v>
      </c>
      <c r="C25" s="1" t="s">
        <v>63</v>
      </c>
      <c r="D25" s="1" t="s">
        <v>175</v>
      </c>
      <c r="E25" s="1" t="s">
        <v>219</v>
      </c>
      <c r="F25" s="1" t="s">
        <v>220</v>
      </c>
      <c r="G25" s="1" t="s">
        <v>199</v>
      </c>
      <c r="H25" s="1" t="s">
        <v>200</v>
      </c>
      <c r="I25" s="5">
        <v>0.22</v>
      </c>
      <c r="J25" s="5">
        <v>30</v>
      </c>
      <c r="K25" s="5">
        <v>2.74</v>
      </c>
      <c r="L25" s="1">
        <v>276</v>
      </c>
    </row>
    <row r="26" spans="1:12" ht="13.4" customHeight="1" x14ac:dyDescent="0.35">
      <c r="A26" s="1">
        <v>25</v>
      </c>
      <c r="B26" s="1">
        <v>2026</v>
      </c>
      <c r="C26" s="1" t="s">
        <v>65</v>
      </c>
      <c r="D26" s="1" t="s">
        <v>163</v>
      </c>
      <c r="E26" s="1" t="s">
        <v>221</v>
      </c>
      <c r="F26" s="1" t="s">
        <v>221</v>
      </c>
      <c r="G26" s="1" t="s">
        <v>203</v>
      </c>
      <c r="H26" s="1" t="s">
        <v>200</v>
      </c>
      <c r="I26" s="5">
        <v>0.42</v>
      </c>
      <c r="J26" s="5">
        <v>35.5</v>
      </c>
      <c r="K26" s="5">
        <v>5.21</v>
      </c>
      <c r="L26" s="1">
        <v>389</v>
      </c>
    </row>
    <row r="27" spans="1:12" ht="13.4" customHeight="1" x14ac:dyDescent="0.35">
      <c r="A27" s="1">
        <v>26</v>
      </c>
      <c r="B27" s="1">
        <v>2022</v>
      </c>
      <c r="C27" s="1" t="s">
        <v>68</v>
      </c>
      <c r="D27" s="1" t="s">
        <v>167</v>
      </c>
      <c r="E27" s="1" t="s">
        <v>222</v>
      </c>
      <c r="F27" s="1" t="s">
        <v>198</v>
      </c>
      <c r="G27" s="1" t="s">
        <v>203</v>
      </c>
      <c r="H27" s="1" t="s">
        <v>223</v>
      </c>
      <c r="I27" s="5">
        <v>0.68</v>
      </c>
      <c r="J27" s="5">
        <v>41</v>
      </c>
      <c r="K27" s="5">
        <v>8.42</v>
      </c>
      <c r="L27" s="1">
        <v>533</v>
      </c>
    </row>
    <row r="28" spans="1:12" ht="13.4" customHeight="1" x14ac:dyDescent="0.35">
      <c r="A28" s="1">
        <v>27</v>
      </c>
      <c r="B28" s="1">
        <v>2023</v>
      </c>
      <c r="C28" s="1" t="s">
        <v>71</v>
      </c>
      <c r="D28" s="1" t="s">
        <v>167</v>
      </c>
      <c r="E28" s="1" t="s">
        <v>224</v>
      </c>
      <c r="F28" s="1" t="s">
        <v>225</v>
      </c>
      <c r="G28" s="1" t="s">
        <v>199</v>
      </c>
      <c r="H28" s="1" t="s">
        <v>200</v>
      </c>
      <c r="I28" s="5">
        <v>0.35</v>
      </c>
      <c r="J28" s="5">
        <v>46.5</v>
      </c>
      <c r="K28" s="5">
        <v>4.24</v>
      </c>
      <c r="L28" s="1">
        <v>66</v>
      </c>
    </row>
    <row r="29" spans="1:12" ht="13.4" customHeight="1" x14ac:dyDescent="0.35">
      <c r="A29" s="1">
        <v>28</v>
      </c>
      <c r="B29" s="1">
        <v>2024</v>
      </c>
      <c r="C29" s="1" t="s">
        <v>72</v>
      </c>
      <c r="D29" s="1" t="s">
        <v>163</v>
      </c>
      <c r="E29" s="1" t="s">
        <v>226</v>
      </c>
      <c r="F29" s="1" t="s">
        <v>226</v>
      </c>
      <c r="G29" s="1" t="s">
        <v>203</v>
      </c>
      <c r="H29" s="1" t="s">
        <v>200</v>
      </c>
      <c r="I29" s="5">
        <v>0.6</v>
      </c>
      <c r="J29" s="5">
        <v>52</v>
      </c>
      <c r="K29" s="5">
        <v>7.3</v>
      </c>
      <c r="L29" s="1">
        <v>160</v>
      </c>
    </row>
    <row r="30" spans="1:12" ht="13.4" customHeight="1" x14ac:dyDescent="0.35">
      <c r="A30" s="1">
        <v>29</v>
      </c>
      <c r="B30" s="1">
        <v>2025</v>
      </c>
      <c r="C30" s="1" t="s">
        <v>73</v>
      </c>
      <c r="D30" s="1" t="s">
        <v>175</v>
      </c>
      <c r="E30" s="1" t="s">
        <v>227</v>
      </c>
      <c r="F30" s="1" t="s">
        <v>228</v>
      </c>
      <c r="G30" s="1" t="s">
        <v>203</v>
      </c>
      <c r="H30" s="1" t="s">
        <v>200</v>
      </c>
      <c r="I30" s="5">
        <v>0.77</v>
      </c>
      <c r="J30" s="5">
        <v>57.5</v>
      </c>
      <c r="K30" s="5">
        <v>9.4600000000000009</v>
      </c>
      <c r="L30" s="1">
        <v>315</v>
      </c>
    </row>
    <row r="31" spans="1:12" ht="13.4" customHeight="1" x14ac:dyDescent="0.35">
      <c r="A31" s="1">
        <v>30</v>
      </c>
      <c r="B31" s="1">
        <v>2026</v>
      </c>
      <c r="C31" s="1" t="s">
        <v>74</v>
      </c>
      <c r="D31" s="1" t="s">
        <v>167</v>
      </c>
      <c r="E31" s="1" t="s">
        <v>229</v>
      </c>
      <c r="F31" s="1" t="s">
        <v>210</v>
      </c>
      <c r="G31" s="1" t="s">
        <v>213</v>
      </c>
      <c r="H31" s="1" t="s">
        <v>230</v>
      </c>
      <c r="I31" s="5">
        <v>0.93</v>
      </c>
      <c r="J31" s="5">
        <v>8</v>
      </c>
      <c r="K31" s="5">
        <v>11.19</v>
      </c>
      <c r="L31" s="1">
        <v>342</v>
      </c>
    </row>
    <row r="32" spans="1:12" ht="13.4" customHeight="1" x14ac:dyDescent="0.35">
      <c r="A32" s="1">
        <v>31</v>
      </c>
      <c r="B32" s="1">
        <v>2022</v>
      </c>
      <c r="C32" s="1" t="s">
        <v>75</v>
      </c>
      <c r="D32" s="1" t="s">
        <v>175</v>
      </c>
      <c r="E32" s="1" t="s">
        <v>197</v>
      </c>
      <c r="F32" s="1" t="s">
        <v>198</v>
      </c>
      <c r="G32" s="1" t="s">
        <v>199</v>
      </c>
      <c r="H32" s="1" t="s">
        <v>200</v>
      </c>
      <c r="I32" s="5">
        <v>0.23</v>
      </c>
      <c r="J32" s="5">
        <v>13.5</v>
      </c>
      <c r="K32" s="5">
        <v>2.79</v>
      </c>
      <c r="L32" s="1">
        <v>200</v>
      </c>
    </row>
    <row r="33" spans="1:12" ht="13.4" customHeight="1" x14ac:dyDescent="0.35">
      <c r="A33" s="1">
        <v>32</v>
      </c>
      <c r="B33" s="1">
        <v>2023</v>
      </c>
      <c r="C33" s="1" t="s">
        <v>77</v>
      </c>
      <c r="D33" s="1" t="s">
        <v>163</v>
      </c>
      <c r="E33" s="1" t="s">
        <v>201</v>
      </c>
      <c r="F33" s="1" t="s">
        <v>202</v>
      </c>
      <c r="G33" s="1" t="s">
        <v>203</v>
      </c>
      <c r="H33" s="1" t="s">
        <v>204</v>
      </c>
      <c r="I33" s="5">
        <v>0.32</v>
      </c>
      <c r="J33" s="5">
        <v>19</v>
      </c>
      <c r="K33" s="5">
        <v>3.91</v>
      </c>
      <c r="L33" s="1">
        <v>315</v>
      </c>
    </row>
    <row r="34" spans="1:12" ht="13.4" customHeight="1" x14ac:dyDescent="0.35">
      <c r="A34" s="1">
        <v>33</v>
      </c>
      <c r="B34" s="1">
        <v>2024</v>
      </c>
      <c r="C34" s="1" t="s">
        <v>79</v>
      </c>
      <c r="D34" s="1" t="s">
        <v>163</v>
      </c>
      <c r="E34" s="1" t="s">
        <v>205</v>
      </c>
      <c r="F34" s="1" t="s">
        <v>206</v>
      </c>
      <c r="G34" s="1" t="s">
        <v>199</v>
      </c>
      <c r="H34" s="1" t="s">
        <v>200</v>
      </c>
      <c r="I34" s="5">
        <v>0.82</v>
      </c>
      <c r="J34" s="5">
        <v>24.5</v>
      </c>
      <c r="K34" s="5">
        <v>9.9700000000000006</v>
      </c>
      <c r="L34" s="1">
        <v>444</v>
      </c>
    </row>
    <row r="35" spans="1:12" ht="13.4" customHeight="1" x14ac:dyDescent="0.35">
      <c r="A35" s="1">
        <v>34</v>
      </c>
      <c r="B35" s="1">
        <v>2025</v>
      </c>
      <c r="C35" s="1" t="s">
        <v>81</v>
      </c>
      <c r="D35" s="1" t="s">
        <v>163</v>
      </c>
      <c r="E35" s="1" t="s">
        <v>207</v>
      </c>
      <c r="F35" s="1" t="s">
        <v>208</v>
      </c>
      <c r="G35" s="1" t="s">
        <v>199</v>
      </c>
      <c r="H35" s="1" t="s">
        <v>200</v>
      </c>
      <c r="I35" s="5">
        <v>0.24</v>
      </c>
      <c r="J35" s="5">
        <v>30</v>
      </c>
      <c r="K35" s="5">
        <v>2.99</v>
      </c>
      <c r="L35" s="1">
        <v>307</v>
      </c>
    </row>
    <row r="36" spans="1:12" ht="13.4" customHeight="1" x14ac:dyDescent="0.35">
      <c r="A36" s="1">
        <v>35</v>
      </c>
      <c r="B36" s="1">
        <v>2026</v>
      </c>
      <c r="C36" s="1" t="s">
        <v>83</v>
      </c>
      <c r="D36" s="1" t="s">
        <v>167</v>
      </c>
      <c r="E36" s="1" t="s">
        <v>209</v>
      </c>
      <c r="F36" s="1" t="s">
        <v>210</v>
      </c>
      <c r="G36" s="1" t="s">
        <v>199</v>
      </c>
      <c r="H36" s="1" t="s">
        <v>211</v>
      </c>
      <c r="I36" s="5">
        <v>1.87</v>
      </c>
      <c r="J36" s="5">
        <v>35.5</v>
      </c>
      <c r="K36" s="5">
        <v>22.66</v>
      </c>
      <c r="L36" s="1">
        <v>507</v>
      </c>
    </row>
    <row r="37" spans="1:12" ht="13.4" customHeight="1" x14ac:dyDescent="0.35">
      <c r="A37" s="1">
        <v>36</v>
      </c>
      <c r="B37" s="1">
        <v>2022</v>
      </c>
      <c r="C37" s="1" t="s">
        <v>85</v>
      </c>
      <c r="D37" s="1" t="s">
        <v>167</v>
      </c>
      <c r="E37" s="1" t="s">
        <v>212</v>
      </c>
      <c r="F37" s="1" t="s">
        <v>212</v>
      </c>
      <c r="G37" s="1" t="s">
        <v>213</v>
      </c>
      <c r="H37" s="1" t="s">
        <v>214</v>
      </c>
      <c r="I37" s="5">
        <v>0.05</v>
      </c>
      <c r="J37" s="5">
        <v>41</v>
      </c>
      <c r="K37" s="5">
        <v>0.62</v>
      </c>
      <c r="L37" s="1">
        <v>50</v>
      </c>
    </row>
    <row r="38" spans="1:12" ht="13.4" customHeight="1" x14ac:dyDescent="0.35">
      <c r="A38" s="1">
        <v>37</v>
      </c>
      <c r="B38" s="1">
        <v>2023</v>
      </c>
      <c r="C38" s="1" t="s">
        <v>87</v>
      </c>
      <c r="D38" s="1" t="s">
        <v>167</v>
      </c>
      <c r="E38" s="1" t="s">
        <v>215</v>
      </c>
      <c r="F38" s="1" t="s">
        <v>215</v>
      </c>
      <c r="G38" s="1" t="s">
        <v>213</v>
      </c>
      <c r="H38" s="1" t="s">
        <v>216</v>
      </c>
      <c r="I38" s="5">
        <v>0.16</v>
      </c>
      <c r="J38" s="5">
        <v>46.5</v>
      </c>
      <c r="K38" s="5">
        <v>1.97</v>
      </c>
      <c r="L38" s="1">
        <v>95</v>
      </c>
    </row>
    <row r="39" spans="1:12" ht="13.4" customHeight="1" x14ac:dyDescent="0.35">
      <c r="A39" s="1">
        <v>38</v>
      </c>
      <c r="B39" s="1">
        <v>2024</v>
      </c>
      <c r="C39" s="1" t="s">
        <v>89</v>
      </c>
      <c r="D39" s="1" t="s">
        <v>167</v>
      </c>
      <c r="E39" s="1" t="s">
        <v>217</v>
      </c>
      <c r="F39" s="1" t="s">
        <v>218</v>
      </c>
      <c r="G39" s="1" t="s">
        <v>203</v>
      </c>
      <c r="H39" s="1" t="s">
        <v>200</v>
      </c>
      <c r="I39" s="5">
        <v>0.28999999999999998</v>
      </c>
      <c r="J39" s="5">
        <v>52</v>
      </c>
      <c r="K39" s="5">
        <v>3.62</v>
      </c>
      <c r="L39" s="1">
        <v>217</v>
      </c>
    </row>
    <row r="40" spans="1:12" ht="13.4" customHeight="1" x14ac:dyDescent="0.35">
      <c r="A40" s="1">
        <v>39</v>
      </c>
      <c r="B40" s="1">
        <v>2025</v>
      </c>
      <c r="C40" s="1" t="s">
        <v>90</v>
      </c>
      <c r="D40" s="1" t="s">
        <v>175</v>
      </c>
      <c r="E40" s="1" t="s">
        <v>219</v>
      </c>
      <c r="F40" s="1" t="s">
        <v>220</v>
      </c>
      <c r="G40" s="1" t="s">
        <v>199</v>
      </c>
      <c r="H40" s="1" t="s">
        <v>200</v>
      </c>
      <c r="I40" s="5">
        <v>0.67</v>
      </c>
      <c r="J40" s="5">
        <v>57.5</v>
      </c>
      <c r="K40" s="5">
        <v>8.27</v>
      </c>
      <c r="L40" s="1">
        <v>333</v>
      </c>
    </row>
    <row r="41" spans="1:12" ht="13.4" customHeight="1" x14ac:dyDescent="0.35">
      <c r="A41" s="1">
        <v>40</v>
      </c>
      <c r="B41" s="1">
        <v>2026</v>
      </c>
      <c r="C41" s="1" t="s">
        <v>91</v>
      </c>
      <c r="D41" s="1" t="s">
        <v>163</v>
      </c>
      <c r="E41" s="1" t="s">
        <v>221</v>
      </c>
      <c r="F41" s="1" t="s">
        <v>221</v>
      </c>
      <c r="G41" s="1" t="s">
        <v>203</v>
      </c>
      <c r="H41" s="1" t="s">
        <v>200</v>
      </c>
      <c r="I41" s="5">
        <v>0.24</v>
      </c>
      <c r="J41" s="5">
        <v>8</v>
      </c>
      <c r="K41" s="5">
        <v>2.89</v>
      </c>
      <c r="L41" s="1">
        <v>115</v>
      </c>
    </row>
    <row r="42" spans="1:12" ht="13.4" customHeight="1" x14ac:dyDescent="0.35">
      <c r="A42" s="1">
        <v>41</v>
      </c>
      <c r="B42" s="1">
        <v>2022</v>
      </c>
      <c r="C42" s="1" t="s">
        <v>92</v>
      </c>
      <c r="D42" s="1" t="s">
        <v>167</v>
      </c>
      <c r="E42" s="1" t="s">
        <v>222</v>
      </c>
      <c r="F42" s="1" t="s">
        <v>198</v>
      </c>
      <c r="G42" s="1" t="s">
        <v>203</v>
      </c>
      <c r="H42" s="1" t="s">
        <v>223</v>
      </c>
      <c r="I42" s="5">
        <v>0.68</v>
      </c>
      <c r="J42" s="5">
        <v>13.5</v>
      </c>
      <c r="K42" s="5">
        <v>8.23</v>
      </c>
      <c r="L42" s="1">
        <v>407</v>
      </c>
    </row>
    <row r="43" spans="1:12" ht="13.4" customHeight="1" x14ac:dyDescent="0.35">
      <c r="A43" s="1">
        <v>42</v>
      </c>
      <c r="B43" s="1">
        <v>2023</v>
      </c>
      <c r="C43" s="1" t="s">
        <v>93</v>
      </c>
      <c r="D43" s="1" t="s">
        <v>167</v>
      </c>
      <c r="E43" s="1" t="s">
        <v>224</v>
      </c>
      <c r="F43" s="1" t="s">
        <v>225</v>
      </c>
      <c r="G43" s="1" t="s">
        <v>199</v>
      </c>
      <c r="H43" s="1" t="s">
        <v>200</v>
      </c>
      <c r="I43" s="5">
        <v>0.16</v>
      </c>
      <c r="J43" s="5">
        <v>19</v>
      </c>
      <c r="K43" s="5">
        <v>1.96</v>
      </c>
      <c r="L43" s="1">
        <v>187</v>
      </c>
    </row>
    <row r="44" spans="1:12" ht="13.4" customHeight="1" x14ac:dyDescent="0.35">
      <c r="A44" s="1">
        <v>43</v>
      </c>
      <c r="B44" s="1">
        <v>2024</v>
      </c>
      <c r="C44" s="1" t="s">
        <v>95</v>
      </c>
      <c r="D44" s="1" t="s">
        <v>163</v>
      </c>
      <c r="E44" s="1" t="s">
        <v>226</v>
      </c>
      <c r="F44" s="1" t="s">
        <v>226</v>
      </c>
      <c r="G44" s="1" t="s">
        <v>203</v>
      </c>
      <c r="H44" s="1" t="s">
        <v>200</v>
      </c>
      <c r="I44" s="5">
        <v>0.47</v>
      </c>
      <c r="J44" s="5">
        <v>24.5</v>
      </c>
      <c r="K44" s="5">
        <v>5.75</v>
      </c>
      <c r="L44" s="1">
        <v>377</v>
      </c>
    </row>
    <row r="45" spans="1:12" ht="13.4" customHeight="1" x14ac:dyDescent="0.35">
      <c r="A45" s="1">
        <v>44</v>
      </c>
      <c r="B45" s="1">
        <v>2025</v>
      </c>
      <c r="C45" s="1" t="s">
        <v>97</v>
      </c>
      <c r="D45" s="1" t="s">
        <v>175</v>
      </c>
      <c r="E45" s="1" t="s">
        <v>227</v>
      </c>
      <c r="F45" s="1" t="s">
        <v>228</v>
      </c>
      <c r="G45" s="1" t="s">
        <v>203</v>
      </c>
      <c r="H45" s="1" t="s">
        <v>200</v>
      </c>
      <c r="I45" s="5">
        <v>0.2</v>
      </c>
      <c r="J45" s="5">
        <v>30</v>
      </c>
      <c r="K45" s="5">
        <v>2.61</v>
      </c>
      <c r="L45" s="1">
        <v>572</v>
      </c>
    </row>
    <row r="46" spans="1:12" ht="13.4" customHeight="1" x14ac:dyDescent="0.35">
      <c r="A46" s="1">
        <v>45</v>
      </c>
      <c r="B46" s="1">
        <v>2026</v>
      </c>
      <c r="C46" s="1" t="s">
        <v>98</v>
      </c>
      <c r="D46" s="1" t="s">
        <v>167</v>
      </c>
      <c r="E46" s="1" t="s">
        <v>229</v>
      </c>
      <c r="F46" s="1" t="s">
        <v>210</v>
      </c>
      <c r="G46" s="1" t="s">
        <v>213</v>
      </c>
      <c r="H46" s="1" t="s">
        <v>230</v>
      </c>
      <c r="I46" s="5">
        <v>0.32</v>
      </c>
      <c r="J46" s="5">
        <v>35.5</v>
      </c>
      <c r="K46" s="5">
        <v>3.89</v>
      </c>
      <c r="L46" s="1">
        <v>108</v>
      </c>
    </row>
    <row r="47" spans="1:12" ht="13.4" customHeight="1" x14ac:dyDescent="0.35">
      <c r="A47" s="1">
        <v>46</v>
      </c>
      <c r="B47" s="1">
        <v>2022</v>
      </c>
      <c r="C47" s="1" t="s">
        <v>99</v>
      </c>
      <c r="D47" s="1" t="s">
        <v>175</v>
      </c>
      <c r="E47" s="1" t="s">
        <v>197</v>
      </c>
      <c r="F47" s="1" t="s">
        <v>198</v>
      </c>
      <c r="G47" s="1" t="s">
        <v>199</v>
      </c>
      <c r="H47" s="1" t="s">
        <v>200</v>
      </c>
      <c r="I47" s="5">
        <v>0.6</v>
      </c>
      <c r="J47" s="5">
        <v>41</v>
      </c>
      <c r="K47" s="5">
        <v>7.27</v>
      </c>
      <c r="L47" s="1">
        <v>151</v>
      </c>
    </row>
    <row r="48" spans="1:12" ht="13.4" customHeight="1" x14ac:dyDescent="0.35">
      <c r="A48" s="1">
        <v>47</v>
      </c>
      <c r="B48" s="1">
        <v>2023</v>
      </c>
      <c r="C48" s="1" t="s">
        <v>101</v>
      </c>
      <c r="D48" s="1" t="s">
        <v>163</v>
      </c>
      <c r="E48" s="1" t="s">
        <v>201</v>
      </c>
      <c r="F48" s="1" t="s">
        <v>202</v>
      </c>
      <c r="G48" s="1" t="s">
        <v>203</v>
      </c>
      <c r="H48" s="1" t="s">
        <v>204</v>
      </c>
      <c r="I48" s="5">
        <v>0.86</v>
      </c>
      <c r="J48" s="5">
        <v>46.5</v>
      </c>
      <c r="K48" s="5">
        <v>10.44</v>
      </c>
      <c r="L48" s="1">
        <v>214</v>
      </c>
    </row>
    <row r="49" spans="1:12" ht="13.4" customHeight="1" x14ac:dyDescent="0.35">
      <c r="A49" s="1">
        <v>48</v>
      </c>
      <c r="B49" s="1">
        <v>2024</v>
      </c>
      <c r="C49" s="1" t="s">
        <v>103</v>
      </c>
      <c r="D49" s="1" t="s">
        <v>163</v>
      </c>
      <c r="E49" s="1" t="s">
        <v>205</v>
      </c>
      <c r="F49" s="1" t="s">
        <v>206</v>
      </c>
      <c r="G49" s="1" t="s">
        <v>199</v>
      </c>
      <c r="H49" s="1" t="s">
        <v>200</v>
      </c>
      <c r="I49" s="5">
        <v>0.53</v>
      </c>
      <c r="J49" s="5">
        <v>52</v>
      </c>
      <c r="K49" s="5">
        <v>6.57</v>
      </c>
      <c r="L49" s="1">
        <v>342</v>
      </c>
    </row>
    <row r="50" spans="1:12" ht="13.4" customHeight="1" x14ac:dyDescent="0.35">
      <c r="A50" s="1">
        <v>49</v>
      </c>
      <c r="B50" s="1">
        <v>2025</v>
      </c>
      <c r="C50" s="1" t="s">
        <v>104</v>
      </c>
      <c r="D50" s="1" t="s">
        <v>163</v>
      </c>
      <c r="E50" s="1" t="s">
        <v>207</v>
      </c>
      <c r="F50" s="1" t="s">
        <v>208</v>
      </c>
      <c r="G50" s="1" t="s">
        <v>199</v>
      </c>
      <c r="H50" s="1" t="s">
        <v>200</v>
      </c>
      <c r="I50" s="5">
        <v>0.2</v>
      </c>
      <c r="J50" s="5">
        <v>57.5</v>
      </c>
      <c r="K50" s="5">
        <v>2.5</v>
      </c>
      <c r="L50" s="1">
        <v>151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D14" sqref="D14"/>
    </sheetView>
  </sheetViews>
  <sheetFormatPr defaultRowHeight="14.5" x14ac:dyDescent="0.35"/>
  <cols>
    <col min="1" max="1" width="26" customWidth="1"/>
    <col min="2" max="2" width="74.90625" customWidth="1"/>
    <col min="3" max="5" width="18" customWidth="1"/>
  </cols>
  <sheetData>
    <row r="1" spans="1:5" ht="36.5" customHeight="1" x14ac:dyDescent="0.35">
      <c r="A1" s="11" t="s">
        <v>231</v>
      </c>
      <c r="B1" s="7"/>
      <c r="C1" s="7"/>
      <c r="D1" s="7"/>
      <c r="E1" s="7"/>
    </row>
    <row r="2" spans="1:5" ht="17.399999999999999" customHeight="1" x14ac:dyDescent="0.35">
      <c r="A2" s="8" t="s">
        <v>232</v>
      </c>
      <c r="B2" s="8" t="s">
        <v>233</v>
      </c>
      <c r="C2" s="8" t="s">
        <v>234</v>
      </c>
      <c r="D2" s="8" t="s">
        <v>235</v>
      </c>
      <c r="E2" s="8" t="s">
        <v>236</v>
      </c>
    </row>
    <row r="3" spans="1:5" ht="17.399999999999999" customHeight="1" x14ac:dyDescent="0.35">
      <c r="A3" s="6" t="s">
        <v>237</v>
      </c>
      <c r="B3" s="6" t="s">
        <v>238</v>
      </c>
      <c r="C3" s="10">
        <v>18</v>
      </c>
      <c r="D3" s="10">
        <v>36</v>
      </c>
      <c r="E3" s="10">
        <v>57</v>
      </c>
    </row>
    <row r="4" spans="1:5" ht="17.399999999999999" customHeight="1" x14ac:dyDescent="0.35">
      <c r="A4" s="6" t="s">
        <v>239</v>
      </c>
      <c r="B4" s="6" t="s">
        <v>238</v>
      </c>
      <c r="C4" s="10">
        <v>21</v>
      </c>
      <c r="D4" s="10">
        <v>39</v>
      </c>
      <c r="E4" s="10">
        <v>62</v>
      </c>
    </row>
    <row r="5" spans="1:5" ht="17.399999999999999" customHeight="1" x14ac:dyDescent="0.35">
      <c r="A5" s="6" t="s">
        <v>240</v>
      </c>
      <c r="B5" s="6" t="s">
        <v>238</v>
      </c>
      <c r="C5" s="10">
        <v>13</v>
      </c>
      <c r="D5" s="10">
        <v>23</v>
      </c>
      <c r="E5" s="10">
        <v>48</v>
      </c>
    </row>
    <row r="6" spans="1:5" ht="17.399999999999999" customHeight="1" x14ac:dyDescent="0.35">
      <c r="A6" s="6" t="s">
        <v>241</v>
      </c>
      <c r="B6" s="6" t="s">
        <v>242</v>
      </c>
      <c r="C6" s="9">
        <v>2.1000000000000001E-2</v>
      </c>
      <c r="D6" s="9">
        <v>3.85E-2</v>
      </c>
      <c r="E6" s="9">
        <v>5.7000000000000002E-2</v>
      </c>
    </row>
    <row r="7" spans="1:5" ht="17.399999999999999" customHeight="1" x14ac:dyDescent="0.35">
      <c r="A7" s="6" t="s">
        <v>241</v>
      </c>
      <c r="B7" s="6" t="s">
        <v>243</v>
      </c>
      <c r="C7" s="9">
        <v>2.1000000000000001E-2</v>
      </c>
      <c r="D7" s="9">
        <v>3.7999999999999999E-2</v>
      </c>
      <c r="E7" s="9">
        <v>5.8000000000000003E-2</v>
      </c>
    </row>
    <row r="8" spans="1:5" ht="17.399999999999999" customHeight="1" x14ac:dyDescent="0.35">
      <c r="A8" s="6" t="s">
        <v>241</v>
      </c>
      <c r="B8" s="6" t="s">
        <v>244</v>
      </c>
      <c r="C8" s="9">
        <v>0.155</v>
      </c>
      <c r="D8" s="9">
        <v>0.26</v>
      </c>
      <c r="E8" s="9">
        <v>0.26</v>
      </c>
    </row>
    <row r="9" spans="1:5" ht="17.399999999999999" customHeight="1" x14ac:dyDescent="0.35">
      <c r="A9" s="6" t="s">
        <v>241</v>
      </c>
      <c r="B9" s="6" t="s">
        <v>245</v>
      </c>
      <c r="C9" s="9">
        <v>0.25650000000000001</v>
      </c>
      <c r="D9" s="9">
        <v>0.35049999999999998</v>
      </c>
      <c r="E9" s="9">
        <v>0.44600000000000001</v>
      </c>
    </row>
    <row r="10" spans="1:5" ht="17.399999999999999" customHeight="1" x14ac:dyDescent="0.35">
      <c r="A10" s="6" t="s">
        <v>246</v>
      </c>
      <c r="B10" s="6"/>
      <c r="C10" s="6"/>
      <c r="D10" s="6"/>
      <c r="E10" s="6"/>
    </row>
    <row r="11" spans="1:5" ht="17.399999999999999" customHeight="1" x14ac:dyDescent="0.35">
      <c r="A11" s="6" t="s">
        <v>247</v>
      </c>
      <c r="B11" s="6" t="s">
        <v>248</v>
      </c>
      <c r="C11" s="6"/>
      <c r="D11" s="6"/>
      <c r="E11" s="6"/>
    </row>
    <row r="12" spans="1:5" ht="17.399999999999999" customHeight="1" x14ac:dyDescent="0.35">
      <c r="A12" s="6" t="s">
        <v>249</v>
      </c>
      <c r="B12" s="6" t="s">
        <v>250</v>
      </c>
      <c r="C12" s="6"/>
      <c r="D12" s="6"/>
      <c r="E12" s="6"/>
    </row>
    <row r="13" spans="1:5" ht="37.5" customHeight="1" x14ac:dyDescent="0.35">
      <c r="A13" s="6" t="s">
        <v>251</v>
      </c>
      <c r="B13" s="6" t="s">
        <v>252</v>
      </c>
      <c r="C13" s="6"/>
      <c r="D13" s="6"/>
      <c r="E13" s="6"/>
    </row>
    <row r="14" spans="1:5" ht="31.5" customHeight="1" x14ac:dyDescent="0.35">
      <c r="A14" s="6" t="s">
        <v>253</v>
      </c>
      <c r="B14" s="6" t="s">
        <v>254</v>
      </c>
      <c r="C14" s="6"/>
      <c r="D14" s="6"/>
      <c r="E14" s="6"/>
    </row>
    <row r="15" spans="1:5" ht="17.399999999999999" customHeight="1" x14ac:dyDescent="0.35">
      <c r="A15" s="6" t="s">
        <v>255</v>
      </c>
      <c r="B15" s="6" t="s">
        <v>256</v>
      </c>
      <c r="C15" s="6"/>
      <c r="D15" s="6"/>
      <c r="E15" s="6"/>
    </row>
    <row r="16" spans="1:5" ht="19" x14ac:dyDescent="0.4">
      <c r="C16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4FD-CE67-4176-BFE3-550D30C17642}">
  <dimension ref="A1:B1"/>
  <sheetViews>
    <sheetView workbookViewId="0">
      <selection activeCell="C16" sqref="C16"/>
    </sheetView>
  </sheetViews>
  <sheetFormatPr defaultRowHeight="14.5" x14ac:dyDescent="0.35"/>
  <cols>
    <col min="3" max="3" width="18" customWidth="1"/>
  </cols>
  <sheetData>
    <row r="1" spans="1:2" x14ac:dyDescent="0.35">
      <c r="A1">
        <v>16</v>
      </c>
      <c r="B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4FA9-771F-44D4-9D37-7F9A8775C838}">
  <dimension ref="A1:B1"/>
  <sheetViews>
    <sheetView workbookViewId="0">
      <selection activeCell="C16" sqref="C16"/>
    </sheetView>
  </sheetViews>
  <sheetFormatPr defaultRowHeight="14.5" x14ac:dyDescent="0.35"/>
  <cols>
    <col min="3" max="3" width="18" customWidth="1"/>
  </cols>
  <sheetData>
    <row r="1" spans="1:2" x14ac:dyDescent="0.35">
      <c r="A1">
        <v>16</v>
      </c>
      <c r="B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Primary_KPIs</vt:lpstr>
      <vt:lpstr>Cost_Breakdown</vt:lpstr>
      <vt:lpstr>IT_Org_Breakdown</vt:lpstr>
      <vt:lpstr>Applications</vt:lpstr>
      <vt:lpstr>Benchmark_Reference</vt:lpstr>
      <vt:lpstr>UPSLIDE_UndoFormatting</vt:lpstr>
      <vt:lpstr>UPSLIDE_Undo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.,, Parjanya</cp:lastModifiedBy>
  <dcterms:modified xsi:type="dcterms:W3CDTF">2026-04-28T06:37:48Z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2026-04-28T06:37:48Z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70226877-427b-43e6-ac7c-92179af12261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